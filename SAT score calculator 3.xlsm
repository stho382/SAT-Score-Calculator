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5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homa\Desktop\"/>
    </mc:Choice>
  </mc:AlternateContent>
  <xr:revisionPtr revIDLastSave="0" documentId="13_ncr:1_{5D9A2F2D-3EA1-487A-BCEA-9EF4C81D2FF3}" xr6:coauthVersionLast="44" xr6:coauthVersionMax="45" xr10:uidLastSave="{00000000-0000-0000-0000-000000000000}"/>
  <bookViews>
    <workbookView xWindow="-96" yWindow="-96" windowWidth="23232" windowHeight="12696" activeTab="1" xr2:uid="{00000000-000D-0000-FFFF-FFFF00000000}"/>
  </bookViews>
  <sheets>
    <sheet name="UserForm" sheetId="11" r:id="rId1"/>
    <sheet name="Dashboard 2" sheetId="15" r:id="rId2"/>
    <sheet name="Reverse" sheetId="12" state="hidden" r:id="rId3"/>
    <sheet name="Reverse 2" sheetId="13" state="hidden" r:id="rId4"/>
  </sheets>
  <externalReferences>
    <externalReference r:id="rId5"/>
  </externalReferences>
  <definedNames>
    <definedName name="_xlnm._FilterDatabase" localSheetId="1" hidden="1">'Dashboard 2'!$A$6:$E$115</definedName>
    <definedName name="_xlchart.v1.0" hidden="1">'Dashboard 2'!$C$10</definedName>
    <definedName name="_xlchart.v1.1" hidden="1">'Dashboard 2'!$C$9</definedName>
    <definedName name="_xlchart.v1.12" hidden="1">'Dashboard 2'!$C$10</definedName>
    <definedName name="_xlchart.v1.13" hidden="1">'Dashboard 2'!$C$9</definedName>
    <definedName name="_xlchart.v1.16" hidden="1">'Dashboard 2'!$C$10</definedName>
    <definedName name="_xlchart.v1.17" hidden="1">'Dashboard 2'!$C$9</definedName>
    <definedName name="_xlchart.v1.4" hidden="1">'Dashboard 2'!$C$10</definedName>
    <definedName name="_xlchart.v1.5" hidden="1">'Dashboard 2'!$C$9</definedName>
    <definedName name="_xlchart.v1.8" hidden="1">'Dashboard 2'!$C$10</definedName>
    <definedName name="_xlchart.v1.9" hidden="1">'Dashboard 2'!$C$9</definedName>
    <definedName name="_xlcn.WorksheetConnection_SATscorecalculator.xlsmSAT_21" hidden="1">SAT_2</definedName>
    <definedName name="_xlcn.WorksheetConnection_SATscorecalculator.xlsmSAT_41" hidden="1">SAT_4</definedName>
    <definedName name="_xlcn.WorksheetConnection_SATscorecalculator.xlsmSAT_51" hidden="1">SAT_5</definedName>
    <definedName name="_xlcn.WorksheetConnection_SATscorecalculator.xlsmSAT_61" hidden="1">SAT_6</definedName>
    <definedName name="_xlcn.WorksheetConnection_SATscorecalculator.xlsmSAT_71" hidden="1">SAT_7</definedName>
    <definedName name="_xlcn.WorksheetConnection_SATscorecalculator.xlsmScore1" hidden="1">Score</definedName>
    <definedName name="_xlcn.WorksheetConnection_SATscorecalculator.xlsxSAT1" hidden="1">'[1]Reference Table'!$A$60:$E$241</definedName>
    <definedName name="Chart_1">Practice_Test_1[Overall]</definedName>
    <definedName name="Chart_2">#REF!</definedName>
    <definedName name="Math_with_AND_without_Calculator">Reverse[Math_with_AND_without_Calc]</definedName>
    <definedName name="Practice_Test_Numbers">OFFSET(UserForm!$U$5,0,0,COUNTA(UserForm!$U$5:$U$14),1)</definedName>
    <definedName name="Raw_Score">Reverse[Raw_Score]</definedName>
    <definedName name="Reading">Reverse[Reading]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2" hidden="1">1</definedName>
    <definedName name="solver_eng" localSheetId="3" hidden="1">1</definedName>
    <definedName name="solver_eng" localSheetId="0" hidden="1">1</definedName>
    <definedName name="solver_est" localSheetId="2" hidden="1">1</definedName>
    <definedName name="solver_est" localSheetId="3" hidden="1">1</definedName>
    <definedName name="solver_itr" localSheetId="2" hidden="1">2147483647</definedName>
    <definedName name="solver_itr" localSheetId="3" hidden="1">2147483647</definedName>
    <definedName name="solver_lhs1" localSheetId="2" hidden="1">Reverse!$I$2</definedName>
    <definedName name="solver_lhs1" localSheetId="3" hidden="1">'Reverse 2'!$C$4</definedName>
    <definedName name="solver_lhs1" localSheetId="0" hidden="1">UserForm!$C$4</definedName>
    <definedName name="solver_lhs10" localSheetId="3" hidden="1">'Reverse 2'!$C$7</definedName>
    <definedName name="solver_lhs10" localSheetId="0" hidden="1">UserForm!$C$5</definedName>
    <definedName name="solver_lhs100" localSheetId="3" hidden="1">'Reverse 2'!$C$4</definedName>
    <definedName name="solver_lhs100" localSheetId="0" hidden="1">UserForm!$C$5</definedName>
    <definedName name="solver_lhs101" localSheetId="3" hidden="1">'Reverse 2'!$C$4</definedName>
    <definedName name="solver_lhs101" localSheetId="0" hidden="1">UserForm!$C$6</definedName>
    <definedName name="solver_lhs102" localSheetId="3" hidden="1">'Reverse 2'!$C$4</definedName>
    <definedName name="solver_lhs102" localSheetId="0" hidden="1">UserForm!$C$4</definedName>
    <definedName name="solver_lhs103" localSheetId="3" hidden="1">'Reverse 2'!$C$4</definedName>
    <definedName name="solver_lhs103" localSheetId="0" hidden="1">UserForm!$C$5</definedName>
    <definedName name="solver_lhs104" localSheetId="3" hidden="1">'Reverse 2'!$C$4</definedName>
    <definedName name="solver_lhs104" localSheetId="0" hidden="1">UserForm!$C$6</definedName>
    <definedName name="solver_lhs105" localSheetId="3" hidden="1">'Reverse 2'!$C$4</definedName>
    <definedName name="solver_lhs105" localSheetId="0" hidden="1">UserForm!$C$7</definedName>
    <definedName name="solver_lhs106" localSheetId="3" hidden="1">'Reverse 2'!$C$4</definedName>
    <definedName name="solver_lhs106" localSheetId="0" hidden="1">UserForm!$C$4</definedName>
    <definedName name="solver_lhs107" localSheetId="3" hidden="1">'Reverse 2'!$C$4</definedName>
    <definedName name="solver_lhs107" localSheetId="0" hidden="1">UserForm!$C$5</definedName>
    <definedName name="solver_lhs108" localSheetId="3" hidden="1">'Reverse 2'!$C$4</definedName>
    <definedName name="solver_lhs108" localSheetId="0" hidden="1">UserForm!$C$6</definedName>
    <definedName name="solver_lhs109" localSheetId="3" hidden="1">'Reverse 2'!$C$4</definedName>
    <definedName name="solver_lhs109" localSheetId="0" hidden="1">UserForm!$C$4</definedName>
    <definedName name="solver_lhs11" localSheetId="3" hidden="1">'Reverse 2'!$C$5</definedName>
    <definedName name="solver_lhs11" localSheetId="0" hidden="1">UserForm!$C$6</definedName>
    <definedName name="solver_lhs110" localSheetId="3" hidden="1">'Reverse 2'!$C$4</definedName>
    <definedName name="solver_lhs110" localSheetId="0" hidden="1">UserForm!$C$5</definedName>
    <definedName name="solver_lhs111" localSheetId="3" hidden="1">'Reverse 2'!$C$4</definedName>
    <definedName name="solver_lhs111" localSheetId="0" hidden="1">UserForm!$C$6</definedName>
    <definedName name="solver_lhs112" localSheetId="3" hidden="1">'Reverse 2'!$C$4</definedName>
    <definedName name="solver_lhs112" localSheetId="0" hidden="1">UserForm!$C$7</definedName>
    <definedName name="solver_lhs113" localSheetId="3" hidden="1">'Reverse 2'!$C$4</definedName>
    <definedName name="solver_lhs113" localSheetId="0" hidden="1">UserForm!$C$4</definedName>
    <definedName name="solver_lhs114" localSheetId="3" hidden="1">'Reverse 2'!$C$4</definedName>
    <definedName name="solver_lhs114" localSheetId="0" hidden="1">UserForm!$C$5</definedName>
    <definedName name="solver_lhs115" localSheetId="3" hidden="1">'Reverse 2'!$C$4</definedName>
    <definedName name="solver_lhs115" localSheetId="0" hidden="1">UserForm!$C$6</definedName>
    <definedName name="solver_lhs116" localSheetId="3" hidden="1">'Reverse 2'!$C$4</definedName>
    <definedName name="solver_lhs116" localSheetId="0" hidden="1">UserForm!$C$4</definedName>
    <definedName name="solver_lhs117" localSheetId="3" hidden="1">'Reverse 2'!$C$4</definedName>
    <definedName name="solver_lhs117" localSheetId="0" hidden="1">UserForm!$C$5</definedName>
    <definedName name="solver_lhs118" localSheetId="3" hidden="1">'Reverse 2'!$C$4</definedName>
    <definedName name="solver_lhs118" localSheetId="0" hidden="1">UserForm!$C$6</definedName>
    <definedName name="solver_lhs119" localSheetId="3" hidden="1">'Reverse 2'!$C$4</definedName>
    <definedName name="solver_lhs119" localSheetId="0" hidden="1">UserForm!$C$7</definedName>
    <definedName name="solver_lhs12" localSheetId="3" hidden="1">'Reverse 2'!$C$6</definedName>
    <definedName name="solver_lhs12" localSheetId="0" hidden="1">UserForm!$C$7</definedName>
    <definedName name="solver_lhs120" localSheetId="3" hidden="1">'Reverse 2'!$C$4</definedName>
    <definedName name="solver_lhs120" localSheetId="0" hidden="1">UserForm!$C$4</definedName>
    <definedName name="solver_lhs121" localSheetId="3" hidden="1">'Reverse 2'!$C$4</definedName>
    <definedName name="solver_lhs121" localSheetId="0" hidden="1">UserForm!$C$5</definedName>
    <definedName name="solver_lhs122" localSheetId="3" hidden="1">'Reverse 2'!$C$4</definedName>
    <definedName name="solver_lhs122" localSheetId="0" hidden="1">UserForm!$C$6</definedName>
    <definedName name="solver_lhs123" localSheetId="3" hidden="1">'Reverse 2'!$C$4</definedName>
    <definedName name="solver_lhs123" localSheetId="0" hidden="1">UserForm!$C$4</definedName>
    <definedName name="solver_lhs124" localSheetId="3" hidden="1">'Reverse 2'!$C$4</definedName>
    <definedName name="solver_lhs124" localSheetId="0" hidden="1">UserForm!$C$5</definedName>
    <definedName name="solver_lhs125" localSheetId="3" hidden="1">'Reverse 2'!$C$4</definedName>
    <definedName name="solver_lhs125" localSheetId="0" hidden="1">UserForm!$C$6</definedName>
    <definedName name="solver_lhs126" localSheetId="3" hidden="1">'Reverse 2'!$C$4</definedName>
    <definedName name="solver_lhs126" localSheetId="0" hidden="1">UserForm!$C$7</definedName>
    <definedName name="solver_lhs127" localSheetId="3" hidden="1">'Reverse 2'!$C$4</definedName>
    <definedName name="solver_lhs127" localSheetId="0" hidden="1">UserForm!$C$4</definedName>
    <definedName name="solver_lhs128" localSheetId="3" hidden="1">'Reverse 2'!$C$4</definedName>
    <definedName name="solver_lhs128" localSheetId="0" hidden="1">UserForm!$C$5</definedName>
    <definedName name="solver_lhs129" localSheetId="3" hidden="1">'Reverse 2'!$C$4</definedName>
    <definedName name="solver_lhs129" localSheetId="0" hidden="1">UserForm!$C$6</definedName>
    <definedName name="solver_lhs13" localSheetId="3" hidden="1">'Reverse 2'!$C$7</definedName>
    <definedName name="solver_lhs13" localSheetId="0" hidden="1">UserForm!$C$4</definedName>
    <definedName name="solver_lhs130" localSheetId="3" hidden="1">'Reverse 2'!$C$4</definedName>
    <definedName name="solver_lhs130" localSheetId="0" hidden="1">UserForm!$C$4</definedName>
    <definedName name="solver_lhs131" localSheetId="3" hidden="1">'Reverse 2'!$C$4</definedName>
    <definedName name="solver_lhs131" localSheetId="0" hidden="1">UserForm!$C$5</definedName>
    <definedName name="solver_lhs132" localSheetId="3" hidden="1">'Reverse 2'!$C$4</definedName>
    <definedName name="solver_lhs132" localSheetId="0" hidden="1">UserForm!$C$6</definedName>
    <definedName name="solver_lhs133" localSheetId="3" hidden="1">'Reverse 2'!$C$4</definedName>
    <definedName name="solver_lhs133" localSheetId="0" hidden="1">UserForm!$C$7</definedName>
    <definedName name="solver_lhs134" localSheetId="3" hidden="1">'Reverse 2'!$C$4</definedName>
    <definedName name="solver_lhs135" localSheetId="3" hidden="1">'Reverse 2'!$C$4</definedName>
    <definedName name="solver_lhs136" localSheetId="3" hidden="1">'Reverse 2'!$C$4</definedName>
    <definedName name="solver_lhs137" localSheetId="3" hidden="1">'Reverse 2'!$C$4</definedName>
    <definedName name="solver_lhs138" localSheetId="3" hidden="1">'Reverse 2'!$C$4</definedName>
    <definedName name="solver_lhs139" localSheetId="3" hidden="1">'Reverse 2'!$C$4</definedName>
    <definedName name="solver_lhs14" localSheetId="3" hidden="1">'Reverse 2'!$C$7</definedName>
    <definedName name="solver_lhs14" localSheetId="0" hidden="1">UserForm!$C$5</definedName>
    <definedName name="solver_lhs140" localSheetId="3" hidden="1">'Reverse 2'!$C$4</definedName>
    <definedName name="solver_lhs141" localSheetId="3" hidden="1">'Reverse 2'!$C$4</definedName>
    <definedName name="solver_lhs142" localSheetId="3" hidden="1">'Reverse 2'!$C$4</definedName>
    <definedName name="solver_lhs143" localSheetId="3" hidden="1">'Reverse 2'!$C$4</definedName>
    <definedName name="solver_lhs144" localSheetId="3" hidden="1">'Reverse 2'!$C$4</definedName>
    <definedName name="solver_lhs145" localSheetId="3" hidden="1">'Reverse 2'!$C$4</definedName>
    <definedName name="solver_lhs146" localSheetId="3" hidden="1">'Reverse 2'!$C$4</definedName>
    <definedName name="solver_lhs147" localSheetId="3" hidden="1">'Reverse 2'!$C$4</definedName>
    <definedName name="solver_lhs148" localSheetId="3" hidden="1">'Reverse 2'!$C$4</definedName>
    <definedName name="solver_lhs149" localSheetId="3" hidden="1">'Reverse 2'!$C$4</definedName>
    <definedName name="solver_lhs15" localSheetId="3" hidden="1">'Reverse 2'!$C$7</definedName>
    <definedName name="solver_lhs15" localSheetId="0" hidden="1">UserForm!$C$6</definedName>
    <definedName name="solver_lhs150" localSheetId="3" hidden="1">'Reverse 2'!$C$4</definedName>
    <definedName name="solver_lhs151" localSheetId="3" hidden="1">'Reverse 2'!$C$4</definedName>
    <definedName name="solver_lhs152" localSheetId="3" hidden="1">'Reverse 2'!$C$4</definedName>
    <definedName name="solver_lhs153" localSheetId="3" hidden="1">'Reverse 2'!$C$4</definedName>
    <definedName name="solver_lhs154" localSheetId="3" hidden="1">'Reverse 2'!$C$4</definedName>
    <definedName name="solver_lhs155" localSheetId="3" hidden="1">'Reverse 2'!$C$4</definedName>
    <definedName name="solver_lhs156" localSheetId="3" hidden="1">'Reverse 2'!$C$4</definedName>
    <definedName name="solver_lhs157" localSheetId="3" hidden="1">'Reverse 2'!$C$4</definedName>
    <definedName name="solver_lhs158" localSheetId="3" hidden="1">'Reverse 2'!$C$4</definedName>
    <definedName name="solver_lhs159" localSheetId="3" hidden="1">'Reverse 2'!$C$4</definedName>
    <definedName name="solver_lhs16" localSheetId="3" hidden="1">'Reverse 2'!$C$4</definedName>
    <definedName name="solver_lhs16" localSheetId="0" hidden="1">UserForm!$C$7</definedName>
    <definedName name="solver_lhs160" localSheetId="3" hidden="1">'Reverse 2'!$C$4</definedName>
    <definedName name="solver_lhs161" localSheetId="3" hidden="1">'Reverse 2'!$C$4</definedName>
    <definedName name="solver_lhs162" localSheetId="3" hidden="1">'Reverse 2'!$C$4</definedName>
    <definedName name="solver_lhs163" localSheetId="3" hidden="1">'Reverse 2'!$C$4</definedName>
    <definedName name="solver_lhs164" localSheetId="3" hidden="1">'Reverse 2'!$C$4</definedName>
    <definedName name="solver_lhs165" localSheetId="3" hidden="1">'Reverse 2'!$C$4</definedName>
    <definedName name="solver_lhs166" localSheetId="3" hidden="1">'Reverse 2'!$C$4</definedName>
    <definedName name="solver_lhs167" localSheetId="3" hidden="1">'Reverse 2'!$C$4</definedName>
    <definedName name="solver_lhs168" localSheetId="3" hidden="1">'Reverse 2'!$C$4</definedName>
    <definedName name="solver_lhs169" localSheetId="3" hidden="1">'Reverse 2'!$C$4</definedName>
    <definedName name="solver_lhs17" localSheetId="3" hidden="1">'Reverse 2'!$C$4</definedName>
    <definedName name="solver_lhs17" localSheetId="0" hidden="1">UserForm!$C$4</definedName>
    <definedName name="solver_lhs170" localSheetId="3" hidden="1">'Reverse 2'!$C$4</definedName>
    <definedName name="solver_lhs171" localSheetId="3" hidden="1">'Reverse 2'!$C$4</definedName>
    <definedName name="solver_lhs172" localSheetId="3" hidden="1">'Reverse 2'!$C$4</definedName>
    <definedName name="solver_lhs173" localSheetId="3" hidden="1">'Reverse 2'!$C$4</definedName>
    <definedName name="solver_lhs174" localSheetId="3" hidden="1">'Reverse 2'!$C$4</definedName>
    <definedName name="solver_lhs175" localSheetId="3" hidden="1">'Reverse 2'!$C$4</definedName>
    <definedName name="solver_lhs176" localSheetId="3" hidden="1">'Reverse 2'!$C$4</definedName>
    <definedName name="solver_lhs177" localSheetId="3" hidden="1">'Reverse 2'!$C$4</definedName>
    <definedName name="solver_lhs178" localSheetId="3" hidden="1">'Reverse 2'!$C$4</definedName>
    <definedName name="solver_lhs179" localSheetId="3" hidden="1">'Reverse 2'!$C$4</definedName>
    <definedName name="solver_lhs18" localSheetId="3" hidden="1">'Reverse 2'!$C$4</definedName>
    <definedName name="solver_lhs18" localSheetId="0" hidden="1">UserForm!$C$5</definedName>
    <definedName name="solver_lhs180" localSheetId="3" hidden="1">'Reverse 2'!$C$4</definedName>
    <definedName name="solver_lhs181" localSheetId="3" hidden="1">'Reverse 2'!$C$4</definedName>
    <definedName name="solver_lhs182" localSheetId="3" hidden="1">'Reverse 2'!$C$4</definedName>
    <definedName name="solver_lhs183" localSheetId="3" hidden="1">'Reverse 2'!$C$4</definedName>
    <definedName name="solver_lhs184" localSheetId="3" hidden="1">'Reverse 2'!$C$4</definedName>
    <definedName name="solver_lhs185" localSheetId="3" hidden="1">'Reverse 2'!$C$4</definedName>
    <definedName name="solver_lhs186" localSheetId="3" hidden="1">'Reverse 2'!$C$4</definedName>
    <definedName name="solver_lhs187" localSheetId="3" hidden="1">'Reverse 2'!$C$4</definedName>
    <definedName name="solver_lhs188" localSheetId="3" hidden="1">'Reverse 2'!$C$4</definedName>
    <definedName name="solver_lhs189" localSheetId="3" hidden="1">'Reverse 2'!$C$4</definedName>
    <definedName name="solver_lhs19" localSheetId="3" hidden="1">'Reverse 2'!$C$4</definedName>
    <definedName name="solver_lhs19" localSheetId="0" hidden="1">UserForm!$C$6</definedName>
    <definedName name="solver_lhs190" localSheetId="3" hidden="1">'Reverse 2'!$C$4</definedName>
    <definedName name="solver_lhs191" localSheetId="3" hidden="1">'Reverse 2'!$C$4</definedName>
    <definedName name="solver_lhs192" localSheetId="3" hidden="1">'Reverse 2'!$C$4</definedName>
    <definedName name="solver_lhs193" localSheetId="3" hidden="1">'Reverse 2'!$C$4</definedName>
    <definedName name="solver_lhs194" localSheetId="3" hidden="1">'Reverse 2'!$C$4</definedName>
    <definedName name="solver_lhs195" localSheetId="3" hidden="1">'Reverse 2'!$C$4</definedName>
    <definedName name="solver_lhs196" localSheetId="3" hidden="1">'Reverse 2'!$C$4</definedName>
    <definedName name="solver_lhs197" localSheetId="3" hidden="1">'Reverse 2'!$C$4</definedName>
    <definedName name="solver_lhs198" localSheetId="3" hidden="1">'Reverse 2'!$C$4</definedName>
    <definedName name="solver_lhs199" localSheetId="3" hidden="1">'Reverse 2'!$C$4</definedName>
    <definedName name="solver_lhs2" localSheetId="2" hidden="1">Reverse!$J$2</definedName>
    <definedName name="solver_lhs2" localSheetId="3" hidden="1">'Reverse 2'!$C$4</definedName>
    <definedName name="solver_lhs2" localSheetId="0" hidden="1">UserForm!$C$5</definedName>
    <definedName name="solver_lhs20" localSheetId="3" hidden="1">'Reverse 2'!$C$4</definedName>
    <definedName name="solver_lhs20" localSheetId="0" hidden="1">UserForm!$C$7</definedName>
    <definedName name="solver_lhs200" localSheetId="3" hidden="1">'Reverse 2'!$C$4</definedName>
    <definedName name="solver_lhs201" localSheetId="3" hidden="1">'Reverse 2'!$C$4</definedName>
    <definedName name="solver_lhs202" localSheetId="3" hidden="1">'Reverse 2'!$C$4</definedName>
    <definedName name="solver_lhs203" localSheetId="3" hidden="1">'Reverse 2'!$C$4</definedName>
    <definedName name="solver_lhs204" localSheetId="3" hidden="1">'Reverse 2'!$C$4</definedName>
    <definedName name="solver_lhs205" localSheetId="3" hidden="1">'Reverse 2'!$C$4</definedName>
    <definedName name="solver_lhs206" localSheetId="3" hidden="1">'Reverse 2'!$C$4</definedName>
    <definedName name="solver_lhs207" localSheetId="3" hidden="1">'Reverse 2'!$C$4</definedName>
    <definedName name="solver_lhs208" localSheetId="3" hidden="1">'Reverse 2'!$C$4</definedName>
    <definedName name="solver_lhs209" localSheetId="3" hidden="1">'Reverse 2'!$C$4</definedName>
    <definedName name="solver_lhs21" localSheetId="3" hidden="1">'Reverse 2'!$C$4</definedName>
    <definedName name="solver_lhs21" localSheetId="0" hidden="1">UserForm!$C$4</definedName>
    <definedName name="solver_lhs210" localSheetId="3" hidden="1">'Reverse 2'!$C$4</definedName>
    <definedName name="solver_lhs211" localSheetId="3" hidden="1">'Reverse 2'!$C$4</definedName>
    <definedName name="solver_lhs212" localSheetId="3" hidden="1">'Reverse 2'!$C$4</definedName>
    <definedName name="solver_lhs213" localSheetId="3" hidden="1">'Reverse 2'!$C$4</definedName>
    <definedName name="solver_lhs214" localSheetId="3" hidden="1">'Reverse 2'!$C$4</definedName>
    <definedName name="solver_lhs215" localSheetId="3" hidden="1">'Reverse 2'!$C$4</definedName>
    <definedName name="solver_lhs216" localSheetId="3" hidden="1">'Reverse 2'!$C$4</definedName>
    <definedName name="solver_lhs217" localSheetId="3" hidden="1">'Reverse 2'!$C$4</definedName>
    <definedName name="solver_lhs218" localSheetId="3" hidden="1">'Reverse 2'!$C$4</definedName>
    <definedName name="solver_lhs219" localSheetId="3" hidden="1">'Reverse 2'!$C$4</definedName>
    <definedName name="solver_lhs22" localSheetId="3" hidden="1">'Reverse 2'!$C$4</definedName>
    <definedName name="solver_lhs22" localSheetId="0" hidden="1">UserForm!$C$5</definedName>
    <definedName name="solver_lhs220" localSheetId="3" hidden="1">'Reverse 2'!$C$5</definedName>
    <definedName name="solver_lhs221" localSheetId="3" hidden="1">'Reverse 2'!$C$5</definedName>
    <definedName name="solver_lhs222" localSheetId="3" hidden="1">'Reverse 2'!$C$4</definedName>
    <definedName name="solver_lhs223" localSheetId="3" hidden="1">'Reverse 2'!$C$5</definedName>
    <definedName name="solver_lhs224" localSheetId="3" hidden="1">'Reverse 2'!$C$5</definedName>
    <definedName name="solver_lhs225" localSheetId="3" hidden="1">'Reverse 2'!$C$4</definedName>
    <definedName name="solver_lhs226" localSheetId="3" hidden="1">'Reverse 2'!$C$5</definedName>
    <definedName name="solver_lhs227" localSheetId="3" hidden="1">'Reverse 2'!$C$5</definedName>
    <definedName name="solver_lhs228" localSheetId="3" hidden="1">'Reverse 2'!$C$5</definedName>
    <definedName name="solver_lhs229" localSheetId="3" hidden="1">'Reverse 2'!$C$4</definedName>
    <definedName name="solver_lhs23" localSheetId="3" hidden="1">'Reverse 2'!$C$4</definedName>
    <definedName name="solver_lhs23" localSheetId="0" hidden="1">UserForm!$C$6</definedName>
    <definedName name="solver_lhs230" localSheetId="3" hidden="1">'Reverse 2'!$C$5</definedName>
    <definedName name="solver_lhs231" localSheetId="3" hidden="1">'Reverse 2'!$C$4</definedName>
    <definedName name="solver_lhs232" localSheetId="3" hidden="1">'Reverse 2'!$C$5</definedName>
    <definedName name="solver_lhs233" localSheetId="3" hidden="1">'Reverse 2'!$C$5</definedName>
    <definedName name="solver_lhs234" localSheetId="3" hidden="1">'Reverse 2'!$C$5</definedName>
    <definedName name="solver_lhs235" localSheetId="3" hidden="1">'Reverse 2'!$C$5</definedName>
    <definedName name="solver_lhs236" localSheetId="3" hidden="1">'Reverse 2'!$C$5</definedName>
    <definedName name="solver_lhs237" localSheetId="3" hidden="1">'Reverse 2'!$C$5</definedName>
    <definedName name="solver_lhs238" localSheetId="3" hidden="1">'Reverse 2'!$C$5</definedName>
    <definedName name="solver_lhs239" localSheetId="3" hidden="1">'Reverse 2'!$C$4</definedName>
    <definedName name="solver_lhs24" localSheetId="3" hidden="1">'Reverse 2'!$C$4</definedName>
    <definedName name="solver_lhs24" localSheetId="0" hidden="1">UserForm!$C$7</definedName>
    <definedName name="solver_lhs240" localSheetId="3" hidden="1">'Reverse 2'!$C$5</definedName>
    <definedName name="solver_lhs241" localSheetId="3" hidden="1">'Reverse 2'!$C$5</definedName>
    <definedName name="solver_lhs242" localSheetId="3" hidden="1">'Reverse 2'!$C$5</definedName>
    <definedName name="solver_lhs243" localSheetId="3" hidden="1">'Reverse 2'!$C$5</definedName>
    <definedName name="solver_lhs244" localSheetId="3" hidden="1">'Reverse 2'!$C$5</definedName>
    <definedName name="solver_lhs245" localSheetId="3" hidden="1">'Reverse 2'!$C$5</definedName>
    <definedName name="solver_lhs246" localSheetId="3" hidden="1">'Reverse 2'!$C$5</definedName>
    <definedName name="solver_lhs247" localSheetId="3" hidden="1">'Reverse 2'!$C$5</definedName>
    <definedName name="solver_lhs248" localSheetId="3" hidden="1">'Reverse 2'!$C$4</definedName>
    <definedName name="solver_lhs249" localSheetId="3" hidden="1">'Reverse 2'!$C$4</definedName>
    <definedName name="solver_lhs25" localSheetId="3" hidden="1">'Reverse 2'!$C$4</definedName>
    <definedName name="solver_lhs25" localSheetId="0" hidden="1">UserForm!$C$4</definedName>
    <definedName name="solver_lhs250" localSheetId="3" hidden="1">'Reverse 2'!$C$4</definedName>
    <definedName name="solver_lhs251" localSheetId="3" hidden="1">'Reverse 2'!$C$4</definedName>
    <definedName name="solver_lhs252" localSheetId="3" hidden="1">'Reverse 2'!$C$4</definedName>
    <definedName name="solver_lhs253" localSheetId="3" hidden="1">'Reverse 2'!$C$4</definedName>
    <definedName name="solver_lhs254" localSheetId="3" hidden="1">'Reverse 2'!$C$4</definedName>
    <definedName name="solver_lhs255" localSheetId="3" hidden="1">'Reverse 2'!$C$5</definedName>
    <definedName name="solver_lhs256" localSheetId="3" hidden="1">'Reverse 2'!$C$5</definedName>
    <definedName name="solver_lhs257" localSheetId="3" hidden="1">'Reverse 2'!$C$5</definedName>
    <definedName name="solver_lhs258" localSheetId="3" hidden="1">'Reverse 2'!$C$5</definedName>
    <definedName name="solver_lhs259" localSheetId="3" hidden="1">'Reverse 2'!$C$5</definedName>
    <definedName name="solver_lhs26" localSheetId="3" hidden="1">'Reverse 2'!$C$4</definedName>
    <definedName name="solver_lhs26" localSheetId="0" hidden="1">UserForm!$C$5</definedName>
    <definedName name="solver_lhs260" localSheetId="3" hidden="1">'Reverse 2'!$C$5</definedName>
    <definedName name="solver_lhs261" localSheetId="3" hidden="1">'Reverse 2'!$C$5</definedName>
    <definedName name="solver_lhs262" localSheetId="3" hidden="1">'Reverse 2'!$C$5</definedName>
    <definedName name="solver_lhs263" localSheetId="3" hidden="1">'Reverse 2'!$C$5</definedName>
    <definedName name="solver_lhs264" localSheetId="3" hidden="1">'Reverse 2'!$C$5</definedName>
    <definedName name="solver_lhs265" localSheetId="3" hidden="1">'Reverse 2'!$C$5</definedName>
    <definedName name="solver_lhs266" localSheetId="3" hidden="1">'Reverse 2'!$C$5</definedName>
    <definedName name="solver_lhs267" localSheetId="3" hidden="1">'Reverse 2'!$C$5</definedName>
    <definedName name="solver_lhs268" localSheetId="3" hidden="1">'Reverse 2'!$C$5</definedName>
    <definedName name="solver_lhs269" localSheetId="3" hidden="1">'Reverse 2'!$C$5</definedName>
    <definedName name="solver_lhs27" localSheetId="3" hidden="1">'Reverse 2'!$C$4</definedName>
    <definedName name="solver_lhs27" localSheetId="0" hidden="1">UserForm!$C$6</definedName>
    <definedName name="solver_lhs270" localSheetId="3" hidden="1">'Reverse 2'!$C$5</definedName>
    <definedName name="solver_lhs271" localSheetId="3" hidden="1">'Reverse 2'!$C$5</definedName>
    <definedName name="solver_lhs272" localSheetId="3" hidden="1">'Reverse 2'!$C$5</definedName>
    <definedName name="solver_lhs273" localSheetId="3" hidden="1">'Reverse 2'!$C$5</definedName>
    <definedName name="solver_lhs274" localSheetId="3" hidden="1">'Reverse 2'!$C$5</definedName>
    <definedName name="solver_lhs275" localSheetId="3" hidden="1">'Reverse 2'!$C$5</definedName>
    <definedName name="solver_lhs276" localSheetId="3" hidden="1">'Reverse 2'!$C$5</definedName>
    <definedName name="solver_lhs277" localSheetId="3" hidden="1">'Reverse 2'!$C$5</definedName>
    <definedName name="solver_lhs278" localSheetId="3" hidden="1">'Reverse 2'!$C$5</definedName>
    <definedName name="solver_lhs279" localSheetId="3" hidden="1">'Reverse 2'!$C$5</definedName>
    <definedName name="solver_lhs28" localSheetId="3" hidden="1">'Reverse 2'!$C$4</definedName>
    <definedName name="solver_lhs28" localSheetId="0" hidden="1">UserForm!$C$7</definedName>
    <definedName name="solver_lhs280" localSheetId="3" hidden="1">'Reverse 2'!$C$5</definedName>
    <definedName name="solver_lhs281" localSheetId="3" hidden="1">'Reverse 2'!$C$5</definedName>
    <definedName name="solver_lhs282" localSheetId="3" hidden="1">'Reverse 2'!$C$5</definedName>
    <definedName name="solver_lhs283" localSheetId="3" hidden="1">'Reverse 2'!$C$5</definedName>
    <definedName name="solver_lhs284" localSheetId="3" hidden="1">'Reverse 2'!$C$5</definedName>
    <definedName name="solver_lhs285" localSheetId="3" hidden="1">'Reverse 2'!$C$5</definedName>
    <definedName name="solver_lhs286" localSheetId="3" hidden="1">'Reverse 2'!$C$5</definedName>
    <definedName name="solver_lhs287" localSheetId="3" hidden="1">'Reverse 2'!$C$5</definedName>
    <definedName name="solver_lhs288" localSheetId="3" hidden="1">'Reverse 2'!$C$5</definedName>
    <definedName name="solver_lhs289" localSheetId="3" hidden="1">'Reverse 2'!$C$5</definedName>
    <definedName name="solver_lhs29" localSheetId="3" hidden="1">'Reverse 2'!$C$4</definedName>
    <definedName name="solver_lhs29" localSheetId="0" hidden="1">UserForm!$C$4</definedName>
    <definedName name="solver_lhs290" localSheetId="3" hidden="1">'Reverse 2'!$C$5</definedName>
    <definedName name="solver_lhs291" localSheetId="3" hidden="1">'Reverse 2'!$C$5</definedName>
    <definedName name="solver_lhs292" localSheetId="3" hidden="1">'Reverse 2'!$C$5</definedName>
    <definedName name="solver_lhs293" localSheetId="3" hidden="1">'Reverse 2'!$C$5</definedName>
    <definedName name="solver_lhs294" localSheetId="3" hidden="1">'Reverse 2'!$C$5</definedName>
    <definedName name="solver_lhs295" localSheetId="3" hidden="1">'Reverse 2'!$C$5</definedName>
    <definedName name="solver_lhs296" localSheetId="3" hidden="1">'Reverse 2'!$C$5</definedName>
    <definedName name="solver_lhs297" localSheetId="3" hidden="1">'Reverse 2'!$C$5</definedName>
    <definedName name="solver_lhs298" localSheetId="3" hidden="1">'Reverse 2'!$C$5</definedName>
    <definedName name="solver_lhs299" localSheetId="3" hidden="1">'Reverse 2'!$C$5</definedName>
    <definedName name="solver_lhs3" localSheetId="2" hidden="1">Reverse!#REF!</definedName>
    <definedName name="solver_lhs3" localSheetId="3" hidden="1">'Reverse 2'!$C$6</definedName>
    <definedName name="solver_lhs3" localSheetId="0" hidden="1">UserForm!$C$6</definedName>
    <definedName name="solver_lhs30" localSheetId="3" hidden="1">'Reverse 2'!$C$4</definedName>
    <definedName name="solver_lhs30" localSheetId="0" hidden="1">UserForm!$C$5</definedName>
    <definedName name="solver_lhs300" localSheetId="3" hidden="1">'Reverse 2'!$C$5</definedName>
    <definedName name="solver_lhs301" localSheetId="3" hidden="1">'Reverse 2'!$C$5</definedName>
    <definedName name="solver_lhs302" localSheetId="3" hidden="1">'Reverse 2'!$C$5</definedName>
    <definedName name="solver_lhs303" localSheetId="3" hidden="1">'Reverse 2'!$C$5</definedName>
    <definedName name="solver_lhs304" localSheetId="3" hidden="1">'Reverse 2'!$C$4</definedName>
    <definedName name="solver_lhs305" localSheetId="3" hidden="1">'Reverse 2'!$C$5</definedName>
    <definedName name="solver_lhs306" localSheetId="3" hidden="1">'Reverse 2'!$C$5</definedName>
    <definedName name="solver_lhs307" localSheetId="3" hidden="1">'Reverse 2'!$C$5</definedName>
    <definedName name="solver_lhs308" localSheetId="3" hidden="1">'Reverse 2'!$C$5</definedName>
    <definedName name="solver_lhs309" localSheetId="3" hidden="1">'Reverse 2'!$C$5</definedName>
    <definedName name="solver_lhs31" localSheetId="3" hidden="1">'Reverse 2'!$C$4</definedName>
    <definedName name="solver_lhs31" localSheetId="0" hidden="1">UserForm!$C$6</definedName>
    <definedName name="solver_lhs310" localSheetId="3" hidden="1">'Reverse 2'!$C$5</definedName>
    <definedName name="solver_lhs311" localSheetId="3" hidden="1">'Reverse 2'!$C$5</definedName>
    <definedName name="solver_lhs312" localSheetId="3" hidden="1">'Reverse 2'!$C$5</definedName>
    <definedName name="solver_lhs313" localSheetId="3" hidden="1">'Reverse 2'!$C$5</definedName>
    <definedName name="solver_lhs314" localSheetId="3" hidden="1">'Reverse 2'!$C$5</definedName>
    <definedName name="solver_lhs315" localSheetId="3" hidden="1">'Reverse 2'!$C$5</definedName>
    <definedName name="solver_lhs316" localSheetId="3" hidden="1">'Reverse 2'!$C$5</definedName>
    <definedName name="solver_lhs317" localSheetId="3" hidden="1">'Reverse 2'!$C$5</definedName>
    <definedName name="solver_lhs318" localSheetId="3" hidden="1">'Reverse 2'!$C$5</definedName>
    <definedName name="solver_lhs319" localSheetId="3" hidden="1">'Reverse 2'!$C$5</definedName>
    <definedName name="solver_lhs32" localSheetId="3" hidden="1">'Reverse 2'!$C$4</definedName>
    <definedName name="solver_lhs32" localSheetId="0" hidden="1">UserForm!$C$7</definedName>
    <definedName name="solver_lhs320" localSheetId="3" hidden="1">'Reverse 2'!$C$5</definedName>
    <definedName name="solver_lhs321" localSheetId="3" hidden="1">'Reverse 2'!$C$5</definedName>
    <definedName name="solver_lhs322" localSheetId="3" hidden="1">'Reverse 2'!$C$5</definedName>
    <definedName name="solver_lhs323" localSheetId="3" hidden="1">'Reverse 2'!$C$5</definedName>
    <definedName name="solver_lhs324" localSheetId="3" hidden="1">'Reverse 2'!$C$5</definedName>
    <definedName name="solver_lhs325" localSheetId="3" hidden="1">'Reverse 2'!$C$5</definedName>
    <definedName name="solver_lhs326" localSheetId="3" hidden="1">'Reverse 2'!$C$5</definedName>
    <definedName name="solver_lhs327" localSheetId="3" hidden="1">'Reverse 2'!$C$5</definedName>
    <definedName name="solver_lhs328" localSheetId="3" hidden="1">'Reverse 2'!$C$5</definedName>
    <definedName name="solver_lhs329" localSheetId="3" hidden="1">'Reverse 2'!$C$5</definedName>
    <definedName name="solver_lhs33" localSheetId="3" hidden="1">'Reverse 2'!$C$4</definedName>
    <definedName name="solver_lhs33" localSheetId="0" hidden="1">UserForm!$C$4</definedName>
    <definedName name="solver_lhs330" localSheetId="3" hidden="1">'Reverse 2'!$C$5</definedName>
    <definedName name="solver_lhs331" localSheetId="3" hidden="1">'Reverse 2'!$C$5</definedName>
    <definedName name="solver_lhs332" localSheetId="3" hidden="1">'Reverse 2'!$C$5</definedName>
    <definedName name="solver_lhs333" localSheetId="3" hidden="1">'Reverse 2'!$C$5</definedName>
    <definedName name="solver_lhs334" localSheetId="3" hidden="1">'Reverse 2'!$C$5</definedName>
    <definedName name="solver_lhs335" localSheetId="3" hidden="1">'Reverse 2'!$C$5</definedName>
    <definedName name="solver_lhs336" localSheetId="3" hidden="1">'Reverse 2'!$C$5</definedName>
    <definedName name="solver_lhs337" localSheetId="3" hidden="1">'Reverse 2'!$C$5</definedName>
    <definedName name="solver_lhs338" localSheetId="3" hidden="1">'Reverse 2'!$C$5</definedName>
    <definedName name="solver_lhs339" localSheetId="3" hidden="1">'Reverse 2'!$C$5</definedName>
    <definedName name="solver_lhs34" localSheetId="3" hidden="1">'Reverse 2'!$C$4</definedName>
    <definedName name="solver_lhs34" localSheetId="0" hidden="1">UserForm!$C$5</definedName>
    <definedName name="solver_lhs340" localSheetId="3" hidden="1">'Reverse 2'!$C$5</definedName>
    <definedName name="solver_lhs341" localSheetId="3" hidden="1">'Reverse 2'!$C$5</definedName>
    <definedName name="solver_lhs342" localSheetId="3" hidden="1">'Reverse 2'!$C$5</definedName>
    <definedName name="solver_lhs343" localSheetId="3" hidden="1">'Reverse 2'!$C$5</definedName>
    <definedName name="solver_lhs344" localSheetId="3" hidden="1">'Reverse 2'!$C$5</definedName>
    <definedName name="solver_lhs345" localSheetId="3" hidden="1">'Reverse 2'!$C$5</definedName>
    <definedName name="solver_lhs346" localSheetId="3" hidden="1">'Reverse 2'!$C$5</definedName>
    <definedName name="solver_lhs347" localSheetId="3" hidden="1">'Reverse 2'!$C$5</definedName>
    <definedName name="solver_lhs348" localSheetId="3" hidden="1">'Reverse 2'!$C$5</definedName>
    <definedName name="solver_lhs349" localSheetId="3" hidden="1">'Reverse 2'!$C$5</definedName>
    <definedName name="solver_lhs35" localSheetId="3" hidden="1">'Reverse 2'!$C$4</definedName>
    <definedName name="solver_lhs35" localSheetId="0" hidden="1">UserForm!$C$6</definedName>
    <definedName name="solver_lhs350" localSheetId="3" hidden="1">'Reverse 2'!$C$5</definedName>
    <definedName name="solver_lhs351" localSheetId="3" hidden="1">'Reverse 2'!$C$5</definedName>
    <definedName name="solver_lhs352" localSheetId="3" hidden="1">'Reverse 2'!$C$5</definedName>
    <definedName name="solver_lhs353" localSheetId="3" hidden="1">'Reverse 2'!$C$5</definedName>
    <definedName name="solver_lhs354" localSheetId="3" hidden="1">'Reverse 2'!$C$5</definedName>
    <definedName name="solver_lhs355" localSheetId="3" hidden="1">'Reverse 2'!$C$5</definedName>
    <definedName name="solver_lhs356" localSheetId="3" hidden="1">'Reverse 2'!$C$5</definedName>
    <definedName name="solver_lhs357" localSheetId="3" hidden="1">'Reverse 2'!$C$5</definedName>
    <definedName name="solver_lhs358" localSheetId="3" hidden="1">'Reverse 2'!$C$5</definedName>
    <definedName name="solver_lhs359" localSheetId="3" hidden="1">'Reverse 2'!$C$5</definedName>
    <definedName name="solver_lhs36" localSheetId="3" hidden="1">'Reverse 2'!$C$4</definedName>
    <definedName name="solver_lhs36" localSheetId="0" hidden="1">UserForm!$C$7</definedName>
    <definedName name="solver_lhs360" localSheetId="3" hidden="1">'Reverse 2'!$C$5</definedName>
    <definedName name="solver_lhs361" localSheetId="3" hidden="1">'Reverse 2'!$C$5</definedName>
    <definedName name="solver_lhs362" localSheetId="3" hidden="1">'Reverse 2'!$C$5</definedName>
    <definedName name="solver_lhs363" localSheetId="3" hidden="1">'Reverse 2'!$C$5</definedName>
    <definedName name="solver_lhs364" localSheetId="3" hidden="1">'Reverse 2'!$C$5</definedName>
    <definedName name="solver_lhs365" localSheetId="3" hidden="1">'Reverse 2'!$C$5</definedName>
    <definedName name="solver_lhs366" localSheetId="3" hidden="1">'Reverse 2'!$C$5</definedName>
    <definedName name="solver_lhs367" localSheetId="3" hidden="1">'Reverse 2'!$C$5</definedName>
    <definedName name="solver_lhs368" localSheetId="3" hidden="1">'Reverse 2'!$C$5</definedName>
    <definedName name="solver_lhs369" localSheetId="3" hidden="1">'Reverse 2'!$C$5</definedName>
    <definedName name="solver_lhs37" localSheetId="3" hidden="1">'Reverse 2'!$C$4</definedName>
    <definedName name="solver_lhs37" localSheetId="0" hidden="1">UserForm!$C$5</definedName>
    <definedName name="solver_lhs370" localSheetId="3" hidden="1">'Reverse 2'!$C$5</definedName>
    <definedName name="solver_lhs371" localSheetId="3" hidden="1">'Reverse 2'!$C$5</definedName>
    <definedName name="solver_lhs372" localSheetId="3" hidden="1">'Reverse 2'!$C$5</definedName>
    <definedName name="solver_lhs373" localSheetId="3" hidden="1">'Reverse 2'!$C$5</definedName>
    <definedName name="solver_lhs374" localSheetId="3" hidden="1">'Reverse 2'!$C$5</definedName>
    <definedName name="solver_lhs375" localSheetId="3" hidden="1">'Reverse 2'!$C$5</definedName>
    <definedName name="solver_lhs376" localSheetId="3" hidden="1">'Reverse 2'!$C$5</definedName>
    <definedName name="solver_lhs377" localSheetId="3" hidden="1">'Reverse 2'!$C$5</definedName>
    <definedName name="solver_lhs378" localSheetId="3" hidden="1">'Reverse 2'!$C$5</definedName>
    <definedName name="solver_lhs379" localSheetId="3" hidden="1">'Reverse 2'!$C$5</definedName>
    <definedName name="solver_lhs38" localSheetId="3" hidden="1">'Reverse 2'!$C$4</definedName>
    <definedName name="solver_lhs38" localSheetId="0" hidden="1">UserForm!$C$6</definedName>
    <definedName name="solver_lhs380" localSheetId="3" hidden="1">'Reverse 2'!$C$5</definedName>
    <definedName name="solver_lhs381" localSheetId="3" hidden="1">'Reverse 2'!$C$5</definedName>
    <definedName name="solver_lhs382" localSheetId="3" hidden="1">'Reverse 2'!$C$5</definedName>
    <definedName name="solver_lhs383" localSheetId="3" hidden="1">'Reverse 2'!$C$5</definedName>
    <definedName name="solver_lhs384" localSheetId="3" hidden="1">'Reverse 2'!$C$5</definedName>
    <definedName name="solver_lhs385" localSheetId="3" hidden="1">'Reverse 2'!$C$5</definedName>
    <definedName name="solver_lhs386" localSheetId="3" hidden="1">'Reverse 2'!$C$5</definedName>
    <definedName name="solver_lhs387" localSheetId="3" hidden="1">'Reverse 2'!$C$5</definedName>
    <definedName name="solver_lhs388" localSheetId="3" hidden="1">'Reverse 2'!$C$5</definedName>
    <definedName name="solver_lhs389" localSheetId="3" hidden="1">'Reverse 2'!$C$5</definedName>
    <definedName name="solver_lhs39" localSheetId="3" hidden="1">'Reverse 2'!$C$4</definedName>
    <definedName name="solver_lhs39" localSheetId="0" hidden="1">UserForm!$C$4</definedName>
    <definedName name="solver_lhs390" localSheetId="3" hidden="1">'Reverse 2'!$C$5</definedName>
    <definedName name="solver_lhs391" localSheetId="3" hidden="1">'Reverse 2'!$C$5</definedName>
    <definedName name="solver_lhs392" localSheetId="3" hidden="1">'Reverse 2'!$C$5</definedName>
    <definedName name="solver_lhs393" localSheetId="3" hidden="1">'Reverse 2'!$C$5</definedName>
    <definedName name="solver_lhs394" localSheetId="3" hidden="1">'Reverse 2'!$C$5</definedName>
    <definedName name="solver_lhs395" localSheetId="3" hidden="1">'Reverse 2'!$C$5</definedName>
    <definedName name="solver_lhs396" localSheetId="3" hidden="1">'Reverse 2'!$C$5</definedName>
    <definedName name="solver_lhs397" localSheetId="3" hidden="1">'Reverse 2'!$C$5</definedName>
    <definedName name="solver_lhs398" localSheetId="3" hidden="1">'Reverse 2'!$C$5</definedName>
    <definedName name="solver_lhs399" localSheetId="3" hidden="1">'Reverse 2'!$C$5</definedName>
    <definedName name="solver_lhs4" localSheetId="2" hidden="1">Reverse!#REF!</definedName>
    <definedName name="solver_lhs4" localSheetId="3" hidden="1">'Reverse 2'!$C$6</definedName>
    <definedName name="solver_lhs4" localSheetId="0" hidden="1">UserForm!$C$7</definedName>
    <definedName name="solver_lhs40" localSheetId="3" hidden="1">'Reverse 2'!$C$4</definedName>
    <definedName name="solver_lhs40" localSheetId="0" hidden="1">UserForm!$C$5</definedName>
    <definedName name="solver_lhs400" localSheetId="3" hidden="1">'Reverse 2'!$C$5</definedName>
    <definedName name="solver_lhs401" localSheetId="3" hidden="1">'Reverse 2'!$C$5</definedName>
    <definedName name="solver_lhs402" localSheetId="3" hidden="1">'Reverse 2'!$C$5</definedName>
    <definedName name="solver_lhs403" localSheetId="3" hidden="1">'Reverse 2'!$C$5</definedName>
    <definedName name="solver_lhs404" localSheetId="3" hidden="1">'Reverse 2'!$C$5</definedName>
    <definedName name="solver_lhs405" localSheetId="3" hidden="1">'Reverse 2'!$C$5</definedName>
    <definedName name="solver_lhs406" localSheetId="3" hidden="1">'Reverse 2'!$C$5</definedName>
    <definedName name="solver_lhs407" localSheetId="3" hidden="1">'Reverse 2'!$C$5</definedName>
    <definedName name="solver_lhs408" localSheetId="3" hidden="1">'Reverse 2'!$C$5</definedName>
    <definedName name="solver_lhs409" localSheetId="3" hidden="1">'Reverse 2'!$C$5</definedName>
    <definedName name="solver_lhs41" localSheetId="3" hidden="1">'Reverse 2'!$C$4</definedName>
    <definedName name="solver_lhs41" localSheetId="0" hidden="1">UserForm!$C$6</definedName>
    <definedName name="solver_lhs410" localSheetId="3" hidden="1">'Reverse 2'!$C$5</definedName>
    <definedName name="solver_lhs411" localSheetId="3" hidden="1">'Reverse 2'!$C$5</definedName>
    <definedName name="solver_lhs412" localSheetId="3" hidden="1">'Reverse 2'!$C$5</definedName>
    <definedName name="solver_lhs413" localSheetId="3" hidden="1">'Reverse 2'!$C$5</definedName>
    <definedName name="solver_lhs414" localSheetId="3" hidden="1">'Reverse 2'!$C$5</definedName>
    <definedName name="solver_lhs415" localSheetId="3" hidden="1">'Reverse 2'!$C$5</definedName>
    <definedName name="solver_lhs416" localSheetId="3" hidden="1">'Reverse 2'!$C$5</definedName>
    <definedName name="solver_lhs417" localSheetId="3" hidden="1">'Reverse 2'!$C$5</definedName>
    <definedName name="solver_lhs418" localSheetId="3" hidden="1">'Reverse 2'!$C$5</definedName>
    <definedName name="solver_lhs419" localSheetId="3" hidden="1">'Reverse 2'!$C$5</definedName>
    <definedName name="solver_lhs42" localSheetId="3" hidden="1">'Reverse 2'!$C$4</definedName>
    <definedName name="solver_lhs42" localSheetId="0" hidden="1">UserForm!$C$7</definedName>
    <definedName name="solver_lhs420" localSheetId="3" hidden="1">'Reverse 2'!$C$5</definedName>
    <definedName name="solver_lhs421" localSheetId="3" hidden="1">'Reverse 2'!$C$5</definedName>
    <definedName name="solver_lhs422" localSheetId="3" hidden="1">'Reverse 2'!$C$5</definedName>
    <definedName name="solver_lhs423" localSheetId="3" hidden="1">'Reverse 2'!$C$5</definedName>
    <definedName name="solver_lhs424" localSheetId="3" hidden="1">'Reverse 2'!$C$5</definedName>
    <definedName name="solver_lhs425" localSheetId="3" hidden="1">'Reverse 2'!$C$5</definedName>
    <definedName name="solver_lhs426" localSheetId="3" hidden="1">'Reverse 2'!$C$5</definedName>
    <definedName name="solver_lhs427" localSheetId="3" hidden="1">'Reverse 2'!$C$5</definedName>
    <definedName name="solver_lhs428" localSheetId="3" hidden="1">'Reverse 2'!$C$5</definedName>
    <definedName name="solver_lhs429" localSheetId="3" hidden="1">'Reverse 2'!$C$5</definedName>
    <definedName name="solver_lhs43" localSheetId="3" hidden="1">'Reverse 2'!$C$4</definedName>
    <definedName name="solver_lhs43" localSheetId="0" hidden="1">UserForm!$C$4</definedName>
    <definedName name="solver_lhs430" localSheetId="3" hidden="1">'Reverse 2'!$C$5</definedName>
    <definedName name="solver_lhs431" localSheetId="3" hidden="1">'Reverse 2'!$C$5</definedName>
    <definedName name="solver_lhs432" localSheetId="3" hidden="1">'Reverse 2'!$C$5</definedName>
    <definedName name="solver_lhs433" localSheetId="3" hidden="1">'Reverse 2'!$C$5</definedName>
    <definedName name="solver_lhs434" localSheetId="3" hidden="1">'Reverse 2'!$C$5</definedName>
    <definedName name="solver_lhs435" localSheetId="3" hidden="1">'Reverse 2'!$C$5</definedName>
    <definedName name="solver_lhs436" localSheetId="3" hidden="1">'Reverse 2'!$C$5</definedName>
    <definedName name="solver_lhs437" localSheetId="3" hidden="1">'Reverse 2'!$C$5</definedName>
    <definedName name="solver_lhs438" localSheetId="3" hidden="1">'Reverse 2'!$C$5</definedName>
    <definedName name="solver_lhs439" localSheetId="3" hidden="1">'Reverse 2'!$C$5</definedName>
    <definedName name="solver_lhs44" localSheetId="3" hidden="1">'Reverse 2'!$C$4</definedName>
    <definedName name="solver_lhs44" localSheetId="0" hidden="1">UserForm!$C$5</definedName>
    <definedName name="solver_lhs440" localSheetId="3" hidden="1">'Reverse 2'!$C$5</definedName>
    <definedName name="solver_lhs441" localSheetId="3" hidden="1">'Reverse 2'!$C$5</definedName>
    <definedName name="solver_lhs442" localSheetId="3" hidden="1">'Reverse 2'!$C$5</definedName>
    <definedName name="solver_lhs443" localSheetId="3" hidden="1">'Reverse 2'!$C$5</definedName>
    <definedName name="solver_lhs444" localSheetId="3" hidden="1">'Reverse 2'!$C$5</definedName>
    <definedName name="solver_lhs445" localSheetId="3" hidden="1">'Reverse 2'!$C$5</definedName>
    <definedName name="solver_lhs446" localSheetId="3" hidden="1">'Reverse 2'!$C$5</definedName>
    <definedName name="solver_lhs447" localSheetId="3" hidden="1">'Reverse 2'!$C$5</definedName>
    <definedName name="solver_lhs448" localSheetId="3" hidden="1">'Reverse 2'!$C$5</definedName>
    <definedName name="solver_lhs449" localSheetId="3" hidden="1">'Reverse 2'!$C$5</definedName>
    <definedName name="solver_lhs45" localSheetId="3" hidden="1">'Reverse 2'!$C$4</definedName>
    <definedName name="solver_lhs45" localSheetId="0" hidden="1">UserForm!$C$6</definedName>
    <definedName name="solver_lhs450" localSheetId="3" hidden="1">'Reverse 2'!$C$5</definedName>
    <definedName name="solver_lhs451" localSheetId="3" hidden="1">'Reverse 2'!$C$5</definedName>
    <definedName name="solver_lhs452" localSheetId="3" hidden="1">'Reverse 2'!$C$5</definedName>
    <definedName name="solver_lhs453" localSheetId="3" hidden="1">'Reverse 2'!$C$5</definedName>
    <definedName name="solver_lhs454" localSheetId="3" hidden="1">'Reverse 2'!$C$5</definedName>
    <definedName name="solver_lhs455" localSheetId="3" hidden="1">'Reverse 2'!$C$5</definedName>
    <definedName name="solver_lhs456" localSheetId="3" hidden="1">'Reverse 2'!$C$6</definedName>
    <definedName name="solver_lhs457" localSheetId="3" hidden="1">'Reverse 2'!$C$5</definedName>
    <definedName name="solver_lhs458" localSheetId="3" hidden="1">'Reverse 2'!$C$6</definedName>
    <definedName name="solver_lhs459" localSheetId="3" hidden="1">'Reverse 2'!$C$6</definedName>
    <definedName name="solver_lhs46" localSheetId="3" hidden="1">'Reverse 2'!$C$4</definedName>
    <definedName name="solver_lhs46" localSheetId="0" hidden="1">UserForm!$C$4</definedName>
    <definedName name="solver_lhs460" localSheetId="3" hidden="1">'Reverse 2'!$C$5</definedName>
    <definedName name="solver_lhs461" localSheetId="3" hidden="1">'Reverse 2'!$C$6</definedName>
    <definedName name="solver_lhs462" localSheetId="3" hidden="1">'Reverse 2'!$C$6</definedName>
    <definedName name="solver_lhs463" localSheetId="3" hidden="1">'Reverse 2'!$C$5</definedName>
    <definedName name="solver_lhs464" localSheetId="3" hidden="1">'Reverse 2'!$C$6</definedName>
    <definedName name="solver_lhs465" localSheetId="3" hidden="1">'Reverse 2'!$C$6</definedName>
    <definedName name="solver_lhs466" localSheetId="3" hidden="1">'Reverse 2'!$C$5</definedName>
    <definedName name="solver_lhs467" localSheetId="3" hidden="1">'Reverse 2'!$C$6</definedName>
    <definedName name="solver_lhs468" localSheetId="3" hidden="1">'Reverse 2'!$C$6</definedName>
    <definedName name="solver_lhs469" localSheetId="3" hidden="1">'Reverse 2'!$C$6</definedName>
    <definedName name="solver_lhs47" localSheetId="3" hidden="1">'Reverse 2'!$C$4</definedName>
    <definedName name="solver_lhs47" localSheetId="0" hidden="1">UserForm!$C$5</definedName>
    <definedName name="solver_lhs470" localSheetId="3" hidden="1">'Reverse 2'!$C$6</definedName>
    <definedName name="solver_lhs471" localSheetId="3" hidden="1">'Reverse 2'!$C$6</definedName>
    <definedName name="solver_lhs472" localSheetId="3" hidden="1">'Reverse 2'!$C$5</definedName>
    <definedName name="solver_lhs473" localSheetId="3" hidden="1">'Reverse 2'!$C$6</definedName>
    <definedName name="solver_lhs474" localSheetId="3" hidden="1">'Reverse 2'!$C$6</definedName>
    <definedName name="solver_lhs475" localSheetId="3" hidden="1">'Reverse 2'!$C$5</definedName>
    <definedName name="solver_lhs476" localSheetId="3" hidden="1">'Reverse 2'!$C$6</definedName>
    <definedName name="solver_lhs477" localSheetId="3" hidden="1">'Reverse 2'!$C$6</definedName>
    <definedName name="solver_lhs478" localSheetId="3" hidden="1">'Reverse 2'!$C$6</definedName>
    <definedName name="solver_lhs479" localSheetId="3" hidden="1">'Reverse 2'!$C$6</definedName>
    <definedName name="solver_lhs48" localSheetId="3" hidden="1">'Reverse 2'!$C$4</definedName>
    <definedName name="solver_lhs48" localSheetId="0" hidden="1">UserForm!$C$6</definedName>
    <definedName name="solver_lhs480" localSheetId="3" hidden="1">'Reverse 2'!$C$6</definedName>
    <definedName name="solver_lhs481" localSheetId="3" hidden="1">'Reverse 2'!$C$6</definedName>
    <definedName name="solver_lhs482" localSheetId="3" hidden="1">'Reverse 2'!$C$6</definedName>
    <definedName name="solver_lhs483" localSheetId="3" hidden="1">'Reverse 2'!$C$6</definedName>
    <definedName name="solver_lhs484" localSheetId="3" hidden="1">'Reverse 2'!$C$6</definedName>
    <definedName name="solver_lhs485" localSheetId="3" hidden="1">'Reverse 2'!$C$6</definedName>
    <definedName name="solver_lhs486" localSheetId="3" hidden="1">'Reverse 2'!$C$6</definedName>
    <definedName name="solver_lhs487" localSheetId="3" hidden="1">'Reverse 2'!$C$6</definedName>
    <definedName name="solver_lhs488" localSheetId="3" hidden="1">'Reverse 2'!$C$5</definedName>
    <definedName name="solver_lhs489" localSheetId="3" hidden="1">'Reverse 2'!$C$6</definedName>
    <definedName name="solver_lhs49" localSheetId="3" hidden="1">'Reverse 2'!$C$4</definedName>
    <definedName name="solver_lhs49" localSheetId="0" hidden="1">UserForm!$C$7</definedName>
    <definedName name="solver_lhs490" localSheetId="3" hidden="1">'Reverse 2'!$C$6</definedName>
    <definedName name="solver_lhs491" localSheetId="3" hidden="1">'Reverse 2'!$C$6</definedName>
    <definedName name="solver_lhs492" localSheetId="3" hidden="1">'Reverse 2'!$C$6</definedName>
    <definedName name="solver_lhs493" localSheetId="3" hidden="1">'Reverse 2'!$C$6</definedName>
    <definedName name="solver_lhs494" localSheetId="3" hidden="1">'Reverse 2'!$C$6</definedName>
    <definedName name="solver_lhs495" localSheetId="3" hidden="1">'Reverse 2'!$C$5</definedName>
    <definedName name="solver_lhs496" localSheetId="3" hidden="1">'Reverse 2'!$C$6</definedName>
    <definedName name="solver_lhs497" localSheetId="3" hidden="1">'Reverse 2'!$C$6</definedName>
    <definedName name="solver_lhs498" localSheetId="3" hidden="1">'Reverse 2'!$C$6</definedName>
    <definedName name="solver_lhs499" localSheetId="3" hidden="1">'Reverse 2'!$C$6</definedName>
    <definedName name="solver_lhs5" localSheetId="3" hidden="1">'Reverse 2'!$C$5</definedName>
    <definedName name="solver_lhs5" localSheetId="0" hidden="1">UserForm!$C$4</definedName>
    <definedName name="solver_lhs50" localSheetId="3" hidden="1">'Reverse 2'!$C$4</definedName>
    <definedName name="solver_lhs50" localSheetId="0" hidden="1">UserForm!$C$4</definedName>
    <definedName name="solver_lhs500" localSheetId="3" hidden="1">'Reverse 2'!$C$6</definedName>
    <definedName name="solver_lhs501" localSheetId="3" hidden="1">'Reverse 2'!$C$6</definedName>
    <definedName name="solver_lhs502" localSheetId="3" hidden="1">'Reverse 2'!$C$6</definedName>
    <definedName name="solver_lhs503" localSheetId="3" hidden="1">'Reverse 2'!$C$6</definedName>
    <definedName name="solver_lhs504" localSheetId="3" hidden="1">'Reverse 2'!$C$6</definedName>
    <definedName name="solver_lhs505" localSheetId="3" hidden="1">'Reverse 2'!$C$6</definedName>
    <definedName name="solver_lhs506" localSheetId="3" hidden="1">'Reverse 2'!$C$6</definedName>
    <definedName name="solver_lhs507" localSheetId="3" hidden="1">'Reverse 2'!$C$6</definedName>
    <definedName name="solver_lhs508" localSheetId="3" hidden="1">'Reverse 2'!$C$5</definedName>
    <definedName name="solver_lhs509" localSheetId="3" hidden="1">'Reverse 2'!$C$6</definedName>
    <definedName name="solver_lhs51" localSheetId="3" hidden="1">'Reverse 2'!$C$4</definedName>
    <definedName name="solver_lhs51" localSheetId="0" hidden="1">UserForm!$C$5</definedName>
    <definedName name="solver_lhs510" localSheetId="3" hidden="1">'Reverse 2'!$C$6</definedName>
    <definedName name="solver_lhs511" localSheetId="3" hidden="1">'Reverse 2'!$C$6</definedName>
    <definedName name="solver_lhs512" localSheetId="3" hidden="1">'Reverse 2'!$C$6</definedName>
    <definedName name="solver_lhs513" localSheetId="3" hidden="1">'Reverse 2'!$C$6</definedName>
    <definedName name="solver_lhs514" localSheetId="3" hidden="1">'Reverse 2'!$C$6</definedName>
    <definedName name="solver_lhs515" localSheetId="3" hidden="1">'Reverse 2'!$C$6</definedName>
    <definedName name="solver_lhs516" localSheetId="3" hidden="1">'Reverse 2'!$C$6</definedName>
    <definedName name="solver_lhs517" localSheetId="3" hidden="1">'Reverse 2'!$C$6</definedName>
    <definedName name="solver_lhs518" localSheetId="3" hidden="1">'Reverse 2'!$C$6</definedName>
    <definedName name="solver_lhs519" localSheetId="3" hidden="1">'Reverse 2'!$C$6</definedName>
    <definedName name="solver_lhs52" localSheetId="3" hidden="1">'Reverse 2'!$C$4</definedName>
    <definedName name="solver_lhs52" localSheetId="0" hidden="1">UserForm!$C$6</definedName>
    <definedName name="solver_lhs520" localSheetId="3" hidden="1">'Reverse 2'!$C$6</definedName>
    <definedName name="solver_lhs521" localSheetId="3" hidden="1">'Reverse 2'!$C$6</definedName>
    <definedName name="solver_lhs522" localSheetId="3" hidden="1">'Reverse 2'!$C$6</definedName>
    <definedName name="solver_lhs523" localSheetId="3" hidden="1">'Reverse 2'!$C$6</definedName>
    <definedName name="solver_lhs524" localSheetId="3" hidden="1">'Reverse 2'!$C$6</definedName>
    <definedName name="solver_lhs525" localSheetId="3" hidden="1">'Reverse 2'!$C$6</definedName>
    <definedName name="solver_lhs526" localSheetId="3" hidden="1">'Reverse 2'!$C$6</definedName>
    <definedName name="solver_lhs527" localSheetId="3" hidden="1">'Reverse 2'!$C$6</definedName>
    <definedName name="solver_lhs528" localSheetId="3" hidden="1">'Reverse 2'!$C$6</definedName>
    <definedName name="solver_lhs529" localSheetId="3" hidden="1">'Reverse 2'!$C$6</definedName>
    <definedName name="solver_lhs53" localSheetId="3" hidden="1">'Reverse 2'!$C$4</definedName>
    <definedName name="solver_lhs53" localSheetId="0" hidden="1">UserForm!$C$4</definedName>
    <definedName name="solver_lhs530" localSheetId="3" hidden="1">'Reverse 2'!$C$6</definedName>
    <definedName name="solver_lhs531" localSheetId="3" hidden="1">'Reverse 2'!$C$6</definedName>
    <definedName name="solver_lhs532" localSheetId="3" hidden="1">'Reverse 2'!$C$6</definedName>
    <definedName name="solver_lhs533" localSheetId="3" hidden="1">'Reverse 2'!$C$6</definedName>
    <definedName name="solver_lhs534" localSheetId="3" hidden="1">'Reverse 2'!$C$6</definedName>
    <definedName name="solver_lhs535" localSheetId="3" hidden="1">'Reverse 2'!$C$6</definedName>
    <definedName name="solver_lhs536" localSheetId="3" hidden="1">'Reverse 2'!$C$6</definedName>
    <definedName name="solver_lhs537" localSheetId="3" hidden="1">'Reverse 2'!$C$6</definedName>
    <definedName name="solver_lhs538" localSheetId="3" hidden="1">'Reverse 2'!$C$6</definedName>
    <definedName name="solver_lhs539" localSheetId="3" hidden="1">'Reverse 2'!$C$6</definedName>
    <definedName name="solver_lhs54" localSheetId="3" hidden="1">'Reverse 2'!$C$4</definedName>
    <definedName name="solver_lhs54" localSheetId="0" hidden="1">UserForm!$C$5</definedName>
    <definedName name="solver_lhs540" localSheetId="3" hidden="1">'Reverse 2'!$C$6</definedName>
    <definedName name="solver_lhs541" localSheetId="3" hidden="1">'Reverse 2'!$C$6</definedName>
    <definedName name="solver_lhs542" localSheetId="3" hidden="1">'Reverse 2'!$C$6</definedName>
    <definedName name="solver_lhs543" localSheetId="3" hidden="1">'Reverse 2'!$C$6</definedName>
    <definedName name="solver_lhs544" localSheetId="3" hidden="1">'Reverse 2'!$C$6</definedName>
    <definedName name="solver_lhs545" localSheetId="3" hidden="1">'Reverse 2'!$C$6</definedName>
    <definedName name="solver_lhs546" localSheetId="3" hidden="1">'Reverse 2'!$C$6</definedName>
    <definedName name="solver_lhs547" localSheetId="3" hidden="1">'Reverse 2'!$C$6</definedName>
    <definedName name="solver_lhs548" localSheetId="3" hidden="1">'Reverse 2'!$C$6</definedName>
    <definedName name="solver_lhs549" localSheetId="3" hidden="1">'Reverse 2'!$C$6</definedName>
    <definedName name="solver_lhs55" localSheetId="3" hidden="1">'Reverse 2'!$C$4</definedName>
    <definedName name="solver_lhs55" localSheetId="0" hidden="1">UserForm!$C$6</definedName>
    <definedName name="solver_lhs550" localSheetId="3" hidden="1">'Reverse 2'!$C$6</definedName>
    <definedName name="solver_lhs551" localSheetId="3" hidden="1">'Reverse 2'!$C$6</definedName>
    <definedName name="solver_lhs552" localSheetId="3" hidden="1">'Reverse 2'!$C$6</definedName>
    <definedName name="solver_lhs553" localSheetId="3" hidden="1">'Reverse 2'!$C$6</definedName>
    <definedName name="solver_lhs554" localSheetId="3" hidden="1">'Reverse 2'!$C$6</definedName>
    <definedName name="solver_lhs555" localSheetId="3" hidden="1">'Reverse 2'!$C$6</definedName>
    <definedName name="solver_lhs556" localSheetId="3" hidden="1">'Reverse 2'!$C$6</definedName>
    <definedName name="solver_lhs557" localSheetId="3" hidden="1">'Reverse 2'!$C$6</definedName>
    <definedName name="solver_lhs558" localSheetId="3" hidden="1">'Reverse 2'!$C$6</definedName>
    <definedName name="solver_lhs559" localSheetId="3" hidden="1">'Reverse 2'!$C$6</definedName>
    <definedName name="solver_lhs56" localSheetId="3" hidden="1">'Reverse 2'!$C$4</definedName>
    <definedName name="solver_lhs56" localSheetId="0" hidden="1">UserForm!$C$7</definedName>
    <definedName name="solver_lhs560" localSheetId="3" hidden="1">'Reverse 2'!$C$6</definedName>
    <definedName name="solver_lhs561" localSheetId="3" hidden="1">'Reverse 2'!$C$6</definedName>
    <definedName name="solver_lhs562" localSheetId="3" hidden="1">'Reverse 2'!$C$6</definedName>
    <definedName name="solver_lhs563" localSheetId="3" hidden="1">'Reverse 2'!$C$6</definedName>
    <definedName name="solver_lhs564" localSheetId="3" hidden="1">'Reverse 2'!$C$6</definedName>
    <definedName name="solver_lhs565" localSheetId="3" hidden="1">'Reverse 2'!$C$6</definedName>
    <definedName name="solver_lhs566" localSheetId="3" hidden="1">'Reverse 2'!$C$6</definedName>
    <definedName name="solver_lhs567" localSheetId="3" hidden="1">'Reverse 2'!$C$6</definedName>
    <definedName name="solver_lhs568" localSheetId="3" hidden="1">'Reverse 2'!$C$6</definedName>
    <definedName name="solver_lhs569" localSheetId="3" hidden="1">'Reverse 2'!$C$6</definedName>
    <definedName name="solver_lhs57" localSheetId="3" hidden="1">'Reverse 2'!$C$4</definedName>
    <definedName name="solver_lhs57" localSheetId="0" hidden="1">UserForm!$C$4</definedName>
    <definedName name="solver_lhs570" localSheetId="3" hidden="1">'Reverse 2'!$C$6</definedName>
    <definedName name="solver_lhs571" localSheetId="3" hidden="1">'Reverse 2'!$C$6</definedName>
    <definedName name="solver_lhs572" localSheetId="3" hidden="1">'Reverse 2'!$C$6</definedName>
    <definedName name="solver_lhs573" localSheetId="3" hidden="1">'Reverse 2'!$C$6</definedName>
    <definedName name="solver_lhs574" localSheetId="3" hidden="1">'Reverse 2'!$C$6</definedName>
    <definedName name="solver_lhs575" localSheetId="3" hidden="1">'Reverse 2'!$C$6</definedName>
    <definedName name="solver_lhs576" localSheetId="3" hidden="1">'Reverse 2'!$C$6</definedName>
    <definedName name="solver_lhs577" localSheetId="3" hidden="1">'Reverse 2'!$C$6</definedName>
    <definedName name="solver_lhs578" localSheetId="3" hidden="1">'Reverse 2'!$C$6</definedName>
    <definedName name="solver_lhs579" localSheetId="3" hidden="1">'Reverse 2'!$C$6</definedName>
    <definedName name="solver_lhs58" localSheetId="3" hidden="1">'Reverse 2'!$C$4</definedName>
    <definedName name="solver_lhs58" localSheetId="0" hidden="1">UserForm!$C$5</definedName>
    <definedName name="solver_lhs580" localSheetId="3" hidden="1">'Reverse 2'!$C$6</definedName>
    <definedName name="solver_lhs581" localSheetId="3" hidden="1">'Reverse 2'!$C$6</definedName>
    <definedName name="solver_lhs582" localSheetId="3" hidden="1">'Reverse 2'!$C$6</definedName>
    <definedName name="solver_lhs583" localSheetId="3" hidden="1">'Reverse 2'!$C$6</definedName>
    <definedName name="solver_lhs584" localSheetId="3" hidden="1">'Reverse 2'!$C$6</definedName>
    <definedName name="solver_lhs585" localSheetId="3" hidden="1">'Reverse 2'!$C$6</definedName>
    <definedName name="solver_lhs586" localSheetId="3" hidden="1">'Reverse 2'!$C$6</definedName>
    <definedName name="solver_lhs587" localSheetId="3" hidden="1">'Reverse 2'!$C$6</definedName>
    <definedName name="solver_lhs588" localSheetId="3" hidden="1">'Reverse 2'!$C$6</definedName>
    <definedName name="solver_lhs589" localSheetId="3" hidden="1">'Reverse 2'!$C$6</definedName>
    <definedName name="solver_lhs59" localSheetId="3" hidden="1">'Reverse 2'!$C$4</definedName>
    <definedName name="solver_lhs59" localSheetId="0" hidden="1">UserForm!$C$6</definedName>
    <definedName name="solver_lhs590" localSheetId="3" hidden="1">'Reverse 2'!$C$6</definedName>
    <definedName name="solver_lhs591" localSheetId="3" hidden="1">'Reverse 2'!$C$6</definedName>
    <definedName name="solver_lhs592" localSheetId="3" hidden="1">'Reverse 2'!$C$6</definedName>
    <definedName name="solver_lhs593" localSheetId="3" hidden="1">'Reverse 2'!$C$6</definedName>
    <definedName name="solver_lhs594" localSheetId="3" hidden="1">'Reverse 2'!$C$6</definedName>
    <definedName name="solver_lhs595" localSheetId="3" hidden="1">'Reverse 2'!$C$6</definedName>
    <definedName name="solver_lhs596" localSheetId="3" hidden="1">'Reverse 2'!$C$6</definedName>
    <definedName name="solver_lhs597" localSheetId="3" hidden="1">'Reverse 2'!$C$6</definedName>
    <definedName name="solver_lhs598" localSheetId="3" hidden="1">'Reverse 2'!$C$6</definedName>
    <definedName name="solver_lhs599" localSheetId="3" hidden="1">'Reverse 2'!$C$6</definedName>
    <definedName name="solver_lhs6" localSheetId="3" hidden="1">'Reverse 2'!$C$5</definedName>
    <definedName name="solver_lhs6" localSheetId="0" hidden="1">UserForm!$C$5</definedName>
    <definedName name="solver_lhs60" localSheetId="3" hidden="1">'Reverse 2'!$C$4</definedName>
    <definedName name="solver_lhs60" localSheetId="0" hidden="1">UserForm!$C$4</definedName>
    <definedName name="solver_lhs600" localSheetId="3" hidden="1">'Reverse 2'!$C$6</definedName>
    <definedName name="solver_lhs601" localSheetId="3" hidden="1">'Reverse 2'!$C$6</definedName>
    <definedName name="solver_lhs602" localSheetId="3" hidden="1">'Reverse 2'!$C$6</definedName>
    <definedName name="solver_lhs603" localSheetId="3" hidden="1">'Reverse 2'!$C$6</definedName>
    <definedName name="solver_lhs604" localSheetId="3" hidden="1">'Reverse 2'!$C$6</definedName>
    <definedName name="solver_lhs605" localSheetId="3" hidden="1">'Reverse 2'!$C$6</definedName>
    <definedName name="solver_lhs606" localSheetId="3" hidden="1">'Reverse 2'!$C$6</definedName>
    <definedName name="solver_lhs607" localSheetId="3" hidden="1">'Reverse 2'!$C$6</definedName>
    <definedName name="solver_lhs608" localSheetId="3" hidden="1">'Reverse 2'!$C$6</definedName>
    <definedName name="solver_lhs609" localSheetId="3" hidden="1">'Reverse 2'!$C$6</definedName>
    <definedName name="solver_lhs61" localSheetId="3" hidden="1">'Reverse 2'!$C$4</definedName>
    <definedName name="solver_lhs61" localSheetId="0" hidden="1">UserForm!$C$5</definedName>
    <definedName name="solver_lhs610" localSheetId="3" hidden="1">'Reverse 2'!$C$6</definedName>
    <definedName name="solver_lhs611" localSheetId="3" hidden="1">'Reverse 2'!$C$6</definedName>
    <definedName name="solver_lhs612" localSheetId="3" hidden="1">'Reverse 2'!$C$6</definedName>
    <definedName name="solver_lhs613" localSheetId="3" hidden="1">'Reverse 2'!$C$6</definedName>
    <definedName name="solver_lhs614" localSheetId="3" hidden="1">'Reverse 2'!$C$6</definedName>
    <definedName name="solver_lhs615" localSheetId="3" hidden="1">'Reverse 2'!$C$6</definedName>
    <definedName name="solver_lhs616" localSheetId="3" hidden="1">'Reverse 2'!$C$6</definedName>
    <definedName name="solver_lhs617" localSheetId="3" hidden="1">'Reverse 2'!$C$6</definedName>
    <definedName name="solver_lhs618" localSheetId="3" hidden="1">'Reverse 2'!$C$6</definedName>
    <definedName name="solver_lhs619" localSheetId="3" hidden="1">'Reverse 2'!$C$6</definedName>
    <definedName name="solver_lhs62" localSheetId="3" hidden="1">'Reverse 2'!$C$4</definedName>
    <definedName name="solver_lhs62" localSheetId="0" hidden="1">UserForm!$C$6</definedName>
    <definedName name="solver_lhs620" localSheetId="3" hidden="1">'Reverse 2'!$C$6</definedName>
    <definedName name="solver_lhs621" localSheetId="3" hidden="1">'Reverse 2'!$C$6</definedName>
    <definedName name="solver_lhs622" localSheetId="3" hidden="1">'Reverse 2'!$C$6</definedName>
    <definedName name="solver_lhs623" localSheetId="3" hidden="1">'Reverse 2'!$C$6</definedName>
    <definedName name="solver_lhs624" localSheetId="3" hidden="1">'Reverse 2'!$C$6</definedName>
    <definedName name="solver_lhs625" localSheetId="3" hidden="1">'Reverse 2'!$C$6</definedName>
    <definedName name="solver_lhs626" localSheetId="3" hidden="1">'Reverse 2'!$C$6</definedName>
    <definedName name="solver_lhs627" localSheetId="3" hidden="1">'Reverse 2'!$C$6</definedName>
    <definedName name="solver_lhs628" localSheetId="3" hidden="1">'Reverse 2'!$C$6</definedName>
    <definedName name="solver_lhs629" localSheetId="3" hidden="1">'Reverse 2'!$C$6</definedName>
    <definedName name="solver_lhs63" localSheetId="3" hidden="1">'Reverse 2'!$C$4</definedName>
    <definedName name="solver_lhs63" localSheetId="0" hidden="1">UserForm!$C$7</definedName>
    <definedName name="solver_lhs630" localSheetId="3" hidden="1">'Reverse 2'!$C$6</definedName>
    <definedName name="solver_lhs631" localSheetId="3" hidden="1">'Reverse 2'!$C$6</definedName>
    <definedName name="solver_lhs632" localSheetId="3" hidden="1">'Reverse 2'!$C$6</definedName>
    <definedName name="solver_lhs633" localSheetId="3" hidden="1">'Reverse 2'!$C$6</definedName>
    <definedName name="solver_lhs634" localSheetId="3" hidden="1">'Reverse 2'!$C$6</definedName>
    <definedName name="solver_lhs635" localSheetId="3" hidden="1">'Reverse 2'!$C$6</definedName>
    <definedName name="solver_lhs636" localSheetId="3" hidden="1">'Reverse 2'!$C$6</definedName>
    <definedName name="solver_lhs637" localSheetId="3" hidden="1">'Reverse 2'!$C$6</definedName>
    <definedName name="solver_lhs638" localSheetId="3" hidden="1">'Reverse 2'!$C$6</definedName>
    <definedName name="solver_lhs639" localSheetId="3" hidden="1">'Reverse 2'!$C$6</definedName>
    <definedName name="solver_lhs64" localSheetId="3" hidden="1">'Reverse 2'!$C$4</definedName>
    <definedName name="solver_lhs64" localSheetId="0" hidden="1">UserForm!$C$4</definedName>
    <definedName name="solver_lhs640" localSheetId="3" hidden="1">'Reverse 2'!$C$6</definedName>
    <definedName name="solver_lhs641" localSheetId="3" hidden="1">'Reverse 2'!$C$6</definedName>
    <definedName name="solver_lhs642" localSheetId="3" hidden="1">'Reverse 2'!$C$6</definedName>
    <definedName name="solver_lhs643" localSheetId="3" hidden="1">'Reverse 2'!$C$6</definedName>
    <definedName name="solver_lhs644" localSheetId="3" hidden="1">'Reverse 2'!$C$6</definedName>
    <definedName name="solver_lhs645" localSheetId="3" hidden="1">'Reverse 2'!$C$6</definedName>
    <definedName name="solver_lhs646" localSheetId="3" hidden="1">'Reverse 2'!$C$6</definedName>
    <definedName name="solver_lhs647" localSheetId="3" hidden="1">'Reverse 2'!$C$6</definedName>
    <definedName name="solver_lhs648" localSheetId="3" hidden="1">'Reverse 2'!$C$6</definedName>
    <definedName name="solver_lhs649" localSheetId="3" hidden="1">'Reverse 2'!$C$6</definedName>
    <definedName name="solver_lhs65" localSheetId="3" hidden="1">'Reverse 2'!$C$4</definedName>
    <definedName name="solver_lhs65" localSheetId="0" hidden="1">UserForm!$C$5</definedName>
    <definedName name="solver_lhs650" localSheetId="3" hidden="1">'Reverse 2'!$C$6</definedName>
    <definedName name="solver_lhs651" localSheetId="3" hidden="1">'Reverse 2'!$C$6</definedName>
    <definedName name="solver_lhs652" localSheetId="3" hidden="1">'Reverse 2'!$C$6</definedName>
    <definedName name="solver_lhs653" localSheetId="3" hidden="1">'Reverse 2'!$C$6</definedName>
    <definedName name="solver_lhs654" localSheetId="3" hidden="1">'Reverse 2'!$C$6</definedName>
    <definedName name="solver_lhs655" localSheetId="3" hidden="1">'Reverse 2'!$C$6</definedName>
    <definedName name="solver_lhs656" localSheetId="3" hidden="1">'Reverse 2'!$C$6</definedName>
    <definedName name="solver_lhs657" localSheetId="3" hidden="1">'Reverse 2'!$C$6</definedName>
    <definedName name="solver_lhs658" localSheetId="3" hidden="1">'Reverse 2'!$C$6</definedName>
    <definedName name="solver_lhs659" localSheetId="3" hidden="1">'Reverse 2'!$C$6</definedName>
    <definedName name="solver_lhs66" localSheetId="3" hidden="1">'Reverse 2'!$C$4</definedName>
    <definedName name="solver_lhs66" localSheetId="0" hidden="1">UserForm!$C$6</definedName>
    <definedName name="solver_lhs660" localSheetId="3" hidden="1">'Reverse 2'!$C$6</definedName>
    <definedName name="solver_lhs661" localSheetId="3" hidden="1">'Reverse 2'!$C$6</definedName>
    <definedName name="solver_lhs662" localSheetId="3" hidden="1">'Reverse 2'!$C$6</definedName>
    <definedName name="solver_lhs663" localSheetId="3" hidden="1">'Reverse 2'!$C$6</definedName>
    <definedName name="solver_lhs664" localSheetId="3" hidden="1">'Reverse 2'!$C$6</definedName>
    <definedName name="solver_lhs665" localSheetId="3" hidden="1">'Reverse 2'!$C$6</definedName>
    <definedName name="solver_lhs666" localSheetId="3" hidden="1">'Reverse 2'!$C$6</definedName>
    <definedName name="solver_lhs667" localSheetId="3" hidden="1">'Reverse 2'!$C$6</definedName>
    <definedName name="solver_lhs668" localSheetId="3" hidden="1">'Reverse 2'!$C$6</definedName>
    <definedName name="solver_lhs669" localSheetId="3" hidden="1">'Reverse 2'!$C$6</definedName>
    <definedName name="solver_lhs67" localSheetId="3" hidden="1">'Reverse 2'!$C$4</definedName>
    <definedName name="solver_lhs67" localSheetId="0" hidden="1">UserForm!$C$4</definedName>
    <definedName name="solver_lhs670" localSheetId="3" hidden="1">'Reverse 2'!$C$6</definedName>
    <definedName name="solver_lhs671" localSheetId="3" hidden="1">'Reverse 2'!$C$6</definedName>
    <definedName name="solver_lhs672" localSheetId="3" hidden="1">'Reverse 2'!$C$6</definedName>
    <definedName name="solver_lhs673" localSheetId="3" hidden="1">'Reverse 2'!$C$6</definedName>
    <definedName name="solver_lhs674" localSheetId="3" hidden="1">'Reverse 2'!$C$6</definedName>
    <definedName name="solver_lhs675" localSheetId="3" hidden="1">'Reverse 2'!$C$6</definedName>
    <definedName name="solver_lhs676" localSheetId="3" hidden="1">'Reverse 2'!$C$6</definedName>
    <definedName name="solver_lhs677" localSheetId="3" hidden="1">'Reverse 2'!$C$6</definedName>
    <definedName name="solver_lhs678" localSheetId="3" hidden="1">'Reverse 2'!$C$6</definedName>
    <definedName name="solver_lhs679" localSheetId="3" hidden="1">'Reverse 2'!$C$6</definedName>
    <definedName name="solver_lhs68" localSheetId="3" hidden="1">'Reverse 2'!$C$4</definedName>
    <definedName name="solver_lhs68" localSheetId="0" hidden="1">UserForm!$C$5</definedName>
    <definedName name="solver_lhs680" localSheetId="3" hidden="1">'Reverse 2'!$C$6</definedName>
    <definedName name="solver_lhs681" localSheetId="3" hidden="1">'Reverse 2'!$C$6</definedName>
    <definedName name="solver_lhs682" localSheetId="3" hidden="1">'Reverse 2'!$C$6</definedName>
    <definedName name="solver_lhs683" localSheetId="3" hidden="1">'Reverse 2'!$C$6</definedName>
    <definedName name="solver_lhs684" localSheetId="3" hidden="1">'Reverse 2'!$C$6</definedName>
    <definedName name="solver_lhs685" localSheetId="3" hidden="1">'Reverse 2'!$C$7</definedName>
    <definedName name="solver_lhs686" localSheetId="3" hidden="1">'Reverse 2'!$C$6</definedName>
    <definedName name="solver_lhs687" localSheetId="3" hidden="1">'Reverse 2'!$C$7</definedName>
    <definedName name="solver_lhs688" localSheetId="3" hidden="1">'Reverse 2'!$C$6</definedName>
    <definedName name="solver_lhs689" localSheetId="3" hidden="1">'Reverse 2'!$C$7</definedName>
    <definedName name="solver_lhs69" localSheetId="3" hidden="1">'Reverse 2'!$C$4</definedName>
    <definedName name="solver_lhs69" localSheetId="0" hidden="1">UserForm!$C$6</definedName>
    <definedName name="solver_lhs690" localSheetId="3" hidden="1">'Reverse 2'!$C$6</definedName>
    <definedName name="solver_lhs691" localSheetId="3" hidden="1">'Reverse 2'!$C$7</definedName>
    <definedName name="solver_lhs692" localSheetId="3" hidden="1">'Reverse 2'!$C$6</definedName>
    <definedName name="solver_lhs693" localSheetId="3" hidden="1">'Reverse 2'!$C$7</definedName>
    <definedName name="solver_lhs694" localSheetId="3" hidden="1">'Reverse 2'!$C$7</definedName>
    <definedName name="solver_lhs695" localSheetId="3" hidden="1">'Reverse 2'!$C$6</definedName>
    <definedName name="solver_lhs696" localSheetId="3" hidden="1">'Reverse 2'!$C$7</definedName>
    <definedName name="solver_lhs697" localSheetId="3" hidden="1">'Reverse 2'!$C$6</definedName>
    <definedName name="solver_lhs698" localSheetId="3" hidden="1">'Reverse 2'!$C$7</definedName>
    <definedName name="solver_lhs699" localSheetId="3" hidden="1">'Reverse 2'!$C$7</definedName>
    <definedName name="solver_lhs7" localSheetId="3" hidden="1">'Reverse 2'!$C$4</definedName>
    <definedName name="solver_lhs7" localSheetId="0" hidden="1">UserForm!$C$6</definedName>
    <definedName name="solver_lhs70" localSheetId="3" hidden="1">'Reverse 2'!$C$4</definedName>
    <definedName name="solver_lhs70" localSheetId="0" hidden="1">UserForm!$C$7</definedName>
    <definedName name="solver_lhs700" localSheetId="3" hidden="1">'Reverse 2'!$C$6</definedName>
    <definedName name="solver_lhs701" localSheetId="3" hidden="1">'Reverse 2'!$C$7</definedName>
    <definedName name="solver_lhs702" localSheetId="3" hidden="1">'Reverse 2'!$C$6</definedName>
    <definedName name="solver_lhs703" localSheetId="3" hidden="1">'Reverse 2'!$C$7</definedName>
    <definedName name="solver_lhs704" localSheetId="3" hidden="1">'Reverse 2'!$C$6</definedName>
    <definedName name="solver_lhs705" localSheetId="3" hidden="1">'Reverse 2'!$C$7</definedName>
    <definedName name="solver_lhs706" localSheetId="3" hidden="1">'Reverse 2'!$C$7</definedName>
    <definedName name="solver_lhs707" localSheetId="3" hidden="1">'Reverse 2'!$C$6</definedName>
    <definedName name="solver_lhs708" localSheetId="3" hidden="1">'Reverse 2'!$C$7</definedName>
    <definedName name="solver_lhs709" localSheetId="3" hidden="1">'Reverse 2'!$C$6</definedName>
    <definedName name="solver_lhs71" localSheetId="3" hidden="1">'Reverse 2'!$C$4</definedName>
    <definedName name="solver_lhs71" localSheetId="0" hidden="1">UserForm!$C$4</definedName>
    <definedName name="solver_lhs710" localSheetId="3" hidden="1">'Reverse 2'!$C$7</definedName>
    <definedName name="solver_lhs711" localSheetId="3" hidden="1">'Reverse 2'!$C$6</definedName>
    <definedName name="solver_lhs712" localSheetId="3" hidden="1">'Reverse 2'!$C$7</definedName>
    <definedName name="solver_lhs713" localSheetId="3" hidden="1">'Reverse 2'!$C$7</definedName>
    <definedName name="solver_lhs714" localSheetId="3" hidden="1">'Reverse 2'!$C$7</definedName>
    <definedName name="solver_lhs715" localSheetId="3" hidden="1">'Reverse 2'!$C$7</definedName>
    <definedName name="solver_lhs716" localSheetId="3" hidden="1">'Reverse 2'!$C$7</definedName>
    <definedName name="solver_lhs717" localSheetId="3" hidden="1">'Reverse 2'!$C$7</definedName>
    <definedName name="solver_lhs718" localSheetId="3" hidden="1">'Reverse 2'!$C$7</definedName>
    <definedName name="solver_lhs719" localSheetId="3" hidden="1">'Reverse 2'!$C$7</definedName>
    <definedName name="solver_lhs72" localSheetId="3" hidden="1">'Reverse 2'!$C$4</definedName>
    <definedName name="solver_lhs72" localSheetId="0" hidden="1">UserForm!$C$5</definedName>
    <definedName name="solver_lhs720" localSheetId="3" hidden="1">'Reverse 2'!$C$7</definedName>
    <definedName name="solver_lhs721" localSheetId="3" hidden="1">'Reverse 2'!$C$7</definedName>
    <definedName name="solver_lhs722" localSheetId="3" hidden="1">'Reverse 2'!$C$7</definedName>
    <definedName name="solver_lhs723" localSheetId="3" hidden="1">'Reverse 2'!$C$7</definedName>
    <definedName name="solver_lhs724" localSheetId="3" hidden="1">'Reverse 2'!$C$7</definedName>
    <definedName name="solver_lhs725" localSheetId="3" hidden="1">'Reverse 2'!$C$7</definedName>
    <definedName name="solver_lhs726" localSheetId="3" hidden="1">'Reverse 2'!$C$7</definedName>
    <definedName name="solver_lhs727" localSheetId="3" hidden="1">'Reverse 2'!$C$7</definedName>
    <definedName name="solver_lhs728" localSheetId="3" hidden="1">'Reverse 2'!$C$7</definedName>
    <definedName name="solver_lhs729" localSheetId="3" hidden="1">'Reverse 2'!$C$7</definedName>
    <definedName name="solver_lhs73" localSheetId="3" hidden="1">'Reverse 2'!$C$4</definedName>
    <definedName name="solver_lhs73" localSheetId="0" hidden="1">UserForm!$C$6</definedName>
    <definedName name="solver_lhs730" localSheetId="3" hidden="1">'Reverse 2'!$C$7</definedName>
    <definedName name="solver_lhs731" localSheetId="3" hidden="1">'Reverse 2'!$C$7</definedName>
    <definedName name="solver_lhs732" localSheetId="3" hidden="1">'Reverse 2'!$C$7</definedName>
    <definedName name="solver_lhs733" localSheetId="3" hidden="1">'Reverse 2'!$C$7</definedName>
    <definedName name="solver_lhs734" localSheetId="3" hidden="1">'Reverse 2'!$C$7</definedName>
    <definedName name="solver_lhs735" localSheetId="3" hidden="1">'Reverse 2'!$C$7</definedName>
    <definedName name="solver_lhs736" localSheetId="3" hidden="1">'Reverse 2'!$C$7</definedName>
    <definedName name="solver_lhs737" localSheetId="3" hidden="1">'Reverse 2'!$C$7</definedName>
    <definedName name="solver_lhs738" localSheetId="3" hidden="1">'Reverse 2'!$C$7</definedName>
    <definedName name="solver_lhs739" localSheetId="3" hidden="1">'Reverse 2'!$C$7</definedName>
    <definedName name="solver_lhs74" localSheetId="3" hidden="1">'Reverse 2'!$C$4</definedName>
    <definedName name="solver_lhs74" localSheetId="0" hidden="1">UserForm!$C$4</definedName>
    <definedName name="solver_lhs740" localSheetId="3" hidden="1">'Reverse 2'!$C$7</definedName>
    <definedName name="solver_lhs741" localSheetId="3" hidden="1">'Reverse 2'!$C$7</definedName>
    <definedName name="solver_lhs742" localSheetId="3" hidden="1">'Reverse 2'!$C$7</definedName>
    <definedName name="solver_lhs743" localSheetId="3" hidden="1">'Reverse 2'!$C$7</definedName>
    <definedName name="solver_lhs744" localSheetId="3" hidden="1">'Reverse 2'!$C$7</definedName>
    <definedName name="solver_lhs745" localSheetId="3" hidden="1">'Reverse 2'!$C$7</definedName>
    <definedName name="solver_lhs746" localSheetId="3" hidden="1">'Reverse 2'!$C$7</definedName>
    <definedName name="solver_lhs747" localSheetId="3" hidden="1">'Reverse 2'!$C$7</definedName>
    <definedName name="solver_lhs748" localSheetId="3" hidden="1">'Reverse 2'!$C$7</definedName>
    <definedName name="solver_lhs749" localSheetId="3" hidden="1">'Reverse 2'!$C$7</definedName>
    <definedName name="solver_lhs75" localSheetId="3" hidden="1">'Reverse 2'!$C$4</definedName>
    <definedName name="solver_lhs75" localSheetId="0" hidden="1">UserForm!$C$5</definedName>
    <definedName name="solver_lhs750" localSheetId="3" hidden="1">'Reverse 2'!$C$7</definedName>
    <definedName name="solver_lhs751" localSheetId="3" hidden="1">'Reverse 2'!$C$7</definedName>
    <definedName name="solver_lhs752" localSheetId="3" hidden="1">'Reverse 2'!$C$7</definedName>
    <definedName name="solver_lhs753" localSheetId="3" hidden="1">'Reverse 2'!$C$7</definedName>
    <definedName name="solver_lhs754" localSheetId="3" hidden="1">'Reverse 2'!$C$7</definedName>
    <definedName name="solver_lhs755" localSheetId="3" hidden="1">'Reverse 2'!$C$7</definedName>
    <definedName name="solver_lhs756" localSheetId="3" hidden="1">'Reverse 2'!$C$7</definedName>
    <definedName name="solver_lhs757" localSheetId="3" hidden="1">'Reverse 2'!$C$7</definedName>
    <definedName name="solver_lhs758" localSheetId="3" hidden="1">'Reverse 2'!$C$7</definedName>
    <definedName name="solver_lhs759" localSheetId="3" hidden="1">'Reverse 2'!$C$7</definedName>
    <definedName name="solver_lhs76" localSheetId="3" hidden="1">'Reverse 2'!$C$4</definedName>
    <definedName name="solver_lhs76" localSheetId="0" hidden="1">UserForm!$C$6</definedName>
    <definedName name="solver_lhs760" localSheetId="3" hidden="1">'Reverse 2'!$C$7</definedName>
    <definedName name="solver_lhs761" localSheetId="3" hidden="1">'Reverse 2'!$C$7</definedName>
    <definedName name="solver_lhs762" localSheetId="3" hidden="1">'Reverse 2'!$C$7</definedName>
    <definedName name="solver_lhs763" localSheetId="3" hidden="1">'Reverse 2'!$C$7</definedName>
    <definedName name="solver_lhs764" localSheetId="3" hidden="1">'Reverse 2'!$C$7</definedName>
    <definedName name="solver_lhs765" localSheetId="3" hidden="1">'Reverse 2'!$C$7</definedName>
    <definedName name="solver_lhs766" localSheetId="3" hidden="1">'Reverse 2'!$C$7</definedName>
    <definedName name="solver_lhs767" localSheetId="3" hidden="1">'Reverse 2'!$C$7</definedName>
    <definedName name="solver_lhs768" localSheetId="3" hidden="1">'Reverse 2'!$C$7</definedName>
    <definedName name="solver_lhs769" localSheetId="3" hidden="1">'Reverse 2'!$C$7</definedName>
    <definedName name="solver_lhs77" localSheetId="3" hidden="1">'Reverse 2'!$C$4</definedName>
    <definedName name="solver_lhs77" localSheetId="0" hidden="1">UserForm!$C$7</definedName>
    <definedName name="solver_lhs770" localSheetId="3" hidden="1">'Reverse 2'!$C$7</definedName>
    <definedName name="solver_lhs771" localSheetId="3" hidden="1">'Reverse 2'!$C$7</definedName>
    <definedName name="solver_lhs772" localSheetId="3" hidden="1">'Reverse 2'!$C$7</definedName>
    <definedName name="solver_lhs773" localSheetId="3" hidden="1">'Reverse 2'!$C$7</definedName>
    <definedName name="solver_lhs774" localSheetId="3" hidden="1">'Reverse 2'!$C$7</definedName>
    <definedName name="solver_lhs775" localSheetId="3" hidden="1">'Reverse 2'!$C$7</definedName>
    <definedName name="solver_lhs776" localSheetId="3" hidden="1">'Reverse 2'!$C$7</definedName>
    <definedName name="solver_lhs777" localSheetId="3" hidden="1">'Reverse 2'!$C$7</definedName>
    <definedName name="solver_lhs778" localSheetId="3" hidden="1">'Reverse 2'!$C$7</definedName>
    <definedName name="solver_lhs779" localSheetId="3" hidden="1">'Reverse 2'!$C$7</definedName>
    <definedName name="solver_lhs78" localSheetId="3" hidden="1">'Reverse 2'!$C$4</definedName>
    <definedName name="solver_lhs78" localSheetId="0" hidden="1">UserForm!$C$4</definedName>
    <definedName name="solver_lhs780" localSheetId="3" hidden="1">'Reverse 2'!$C$7</definedName>
    <definedName name="solver_lhs781" localSheetId="3" hidden="1">'Reverse 2'!$C$7</definedName>
    <definedName name="solver_lhs782" localSheetId="3" hidden="1">'Reverse 2'!$C$7</definedName>
    <definedName name="solver_lhs783" localSheetId="3" hidden="1">'Reverse 2'!$C$7</definedName>
    <definedName name="solver_lhs784" localSheetId="3" hidden="1">'Reverse 2'!$C$7</definedName>
    <definedName name="solver_lhs785" localSheetId="3" hidden="1">'Reverse 2'!$C$7</definedName>
    <definedName name="solver_lhs786" localSheetId="3" hidden="1">'Reverse 2'!$C$7</definedName>
    <definedName name="solver_lhs787" localSheetId="3" hidden="1">'Reverse 2'!$C$7</definedName>
    <definedName name="solver_lhs788" localSheetId="3" hidden="1">'Reverse 2'!$C$7</definedName>
    <definedName name="solver_lhs789" localSheetId="3" hidden="1">'Reverse 2'!$C$7</definedName>
    <definedName name="solver_lhs79" localSheetId="3" hidden="1">'Reverse 2'!$C$4</definedName>
    <definedName name="solver_lhs79" localSheetId="0" hidden="1">UserForm!$C$5</definedName>
    <definedName name="solver_lhs790" localSheetId="3" hidden="1">'Reverse 2'!$C$7</definedName>
    <definedName name="solver_lhs791" localSheetId="3" hidden="1">'Reverse 2'!$C$7</definedName>
    <definedName name="solver_lhs792" localSheetId="3" hidden="1">'Reverse 2'!$C$7</definedName>
    <definedName name="solver_lhs793" localSheetId="3" hidden="1">'Reverse 2'!$C$7</definedName>
    <definedName name="solver_lhs794" localSheetId="3" hidden="1">'Reverse 2'!$C$7</definedName>
    <definedName name="solver_lhs795" localSheetId="3" hidden="1">'Reverse 2'!$C$7</definedName>
    <definedName name="solver_lhs796" localSheetId="3" hidden="1">'Reverse 2'!$C$7</definedName>
    <definedName name="solver_lhs797" localSheetId="3" hidden="1">'Reverse 2'!$C$7</definedName>
    <definedName name="solver_lhs798" localSheetId="3" hidden="1">'Reverse 2'!$C$7</definedName>
    <definedName name="solver_lhs799" localSheetId="3" hidden="1">'Reverse 2'!$C$7</definedName>
    <definedName name="solver_lhs8" localSheetId="3" hidden="1">'Reverse 2'!$C$5</definedName>
    <definedName name="solver_lhs8" localSheetId="0" hidden="1">UserForm!$C$7</definedName>
    <definedName name="solver_lhs80" localSheetId="3" hidden="1">'Reverse 2'!$C$4</definedName>
    <definedName name="solver_lhs80" localSheetId="0" hidden="1">UserForm!$C$6</definedName>
    <definedName name="solver_lhs800" localSheetId="3" hidden="1">'Reverse 2'!$C$7</definedName>
    <definedName name="solver_lhs801" localSheetId="3" hidden="1">'Reverse 2'!$C$7</definedName>
    <definedName name="solver_lhs802" localSheetId="3" hidden="1">'Reverse 2'!$C$7</definedName>
    <definedName name="solver_lhs803" localSheetId="3" hidden="1">'Reverse 2'!$C$7</definedName>
    <definedName name="solver_lhs804" localSheetId="3" hidden="1">'Reverse 2'!$C$7</definedName>
    <definedName name="solver_lhs805" localSheetId="3" hidden="1">'Reverse 2'!$C$7</definedName>
    <definedName name="solver_lhs806" localSheetId="3" hidden="1">'Reverse 2'!$C$7</definedName>
    <definedName name="solver_lhs807" localSheetId="3" hidden="1">'Reverse 2'!$C$7</definedName>
    <definedName name="solver_lhs808" localSheetId="3" hidden="1">'Reverse 2'!$C$7</definedName>
    <definedName name="solver_lhs809" localSheetId="3" hidden="1">'Reverse 2'!$C$7</definedName>
    <definedName name="solver_lhs81" localSheetId="3" hidden="1">'Reverse 2'!$C$4</definedName>
    <definedName name="solver_lhs81" localSheetId="0" hidden="1">UserForm!$C$4</definedName>
    <definedName name="solver_lhs810" localSheetId="3" hidden="1">'Reverse 2'!$C$7</definedName>
    <definedName name="solver_lhs811" localSheetId="3" hidden="1">'Reverse 2'!$C$7</definedName>
    <definedName name="solver_lhs812" localSheetId="3" hidden="1">'Reverse 2'!$C$7</definedName>
    <definedName name="solver_lhs82" localSheetId="3" hidden="1">'Reverse 2'!$C$4</definedName>
    <definedName name="solver_lhs82" localSheetId="0" hidden="1">UserForm!$C$5</definedName>
    <definedName name="solver_lhs83" localSheetId="3" hidden="1">'Reverse 2'!$C$4</definedName>
    <definedName name="solver_lhs83" localSheetId="0" hidden="1">UserForm!$C$6</definedName>
    <definedName name="solver_lhs84" localSheetId="3" hidden="1">'Reverse 2'!$C$4</definedName>
    <definedName name="solver_lhs84" localSheetId="0" hidden="1">UserForm!$C$7</definedName>
    <definedName name="solver_lhs85" localSheetId="3" hidden="1">'Reverse 2'!$C$4</definedName>
    <definedName name="solver_lhs85" localSheetId="0" hidden="1">UserForm!$C$4</definedName>
    <definedName name="solver_lhs86" localSheetId="3" hidden="1">'Reverse 2'!$C$4</definedName>
    <definedName name="solver_lhs86" localSheetId="0" hidden="1">UserForm!$C$5</definedName>
    <definedName name="solver_lhs87" localSheetId="3" hidden="1">'Reverse 2'!$C$4</definedName>
    <definedName name="solver_lhs87" localSheetId="0" hidden="1">UserForm!$C$6</definedName>
    <definedName name="solver_lhs88" localSheetId="3" hidden="1">'Reverse 2'!$C$4</definedName>
    <definedName name="solver_lhs88" localSheetId="0" hidden="1">UserForm!$C$4</definedName>
    <definedName name="solver_lhs89" localSheetId="3" hidden="1">'Reverse 2'!$C$4</definedName>
    <definedName name="solver_lhs89" localSheetId="0" hidden="1">UserForm!$C$5</definedName>
    <definedName name="solver_lhs9" localSheetId="3" hidden="1">'Reverse 2'!$C$6</definedName>
    <definedName name="solver_lhs9" localSheetId="0" hidden="1">UserForm!$C$4</definedName>
    <definedName name="solver_lhs90" localSheetId="3" hidden="1">'Reverse 2'!$C$4</definedName>
    <definedName name="solver_lhs90" localSheetId="0" hidden="1">UserForm!$C$6</definedName>
    <definedName name="solver_lhs91" localSheetId="3" hidden="1">'Reverse 2'!$C$4</definedName>
    <definedName name="solver_lhs91" localSheetId="0" hidden="1">UserForm!$C$7</definedName>
    <definedName name="solver_lhs92" localSheetId="3" hidden="1">'Reverse 2'!$C$4</definedName>
    <definedName name="solver_lhs92" localSheetId="0" hidden="1">UserForm!$C$4</definedName>
    <definedName name="solver_lhs93" localSheetId="3" hidden="1">'Reverse 2'!$C$4</definedName>
    <definedName name="solver_lhs93" localSheetId="0" hidden="1">UserForm!$C$5</definedName>
    <definedName name="solver_lhs94" localSheetId="3" hidden="1">'Reverse 2'!$C$4</definedName>
    <definedName name="solver_lhs94" localSheetId="0" hidden="1">UserForm!$C$6</definedName>
    <definedName name="solver_lhs95" localSheetId="3" hidden="1">'Reverse 2'!$C$4</definedName>
    <definedName name="solver_lhs95" localSheetId="0" hidden="1">UserForm!$C$4</definedName>
    <definedName name="solver_lhs96" localSheetId="3" hidden="1">'Reverse 2'!$C$4</definedName>
    <definedName name="solver_lhs96" localSheetId="0" hidden="1">UserForm!$C$5</definedName>
    <definedName name="solver_lhs97" localSheetId="3" hidden="1">'Reverse 2'!$C$4</definedName>
    <definedName name="solver_lhs97" localSheetId="0" hidden="1">UserForm!$C$6</definedName>
    <definedName name="solver_lhs98" localSheetId="3" hidden="1">'Reverse 2'!$C$4</definedName>
    <definedName name="solver_lhs98" localSheetId="0" hidden="1">UserForm!$C$7</definedName>
    <definedName name="solver_lhs99" localSheetId="3" hidden="1">'Reverse 2'!$C$4</definedName>
    <definedName name="solver_lhs99" localSheetId="0" hidden="1">UserForm!$C$4</definedName>
    <definedName name="solver_mip" localSheetId="2" hidden="1">2147483647</definedName>
    <definedName name="solver_mip" localSheetId="3" hidden="1">2147483647</definedName>
    <definedName name="solver_mni" localSheetId="2" hidden="1">30</definedName>
    <definedName name="solver_mni" localSheetId="3" hidden="1">30</definedName>
    <definedName name="solver_mrt" localSheetId="2" hidden="1">0.075</definedName>
    <definedName name="solver_mrt" localSheetId="3" hidden="1">0.075</definedName>
    <definedName name="solver_msl" localSheetId="2" hidden="1">2</definedName>
    <definedName name="solver_msl" localSheetId="3" hidden="1">2</definedName>
    <definedName name="solver_neg" localSheetId="2" hidden="1">1</definedName>
    <definedName name="solver_neg" localSheetId="3" hidden="1">1</definedName>
    <definedName name="solver_neg" localSheetId="0" hidden="1">1</definedName>
    <definedName name="solver_nod" localSheetId="2" hidden="1">2147483647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um" localSheetId="0" hidden="1">0</definedName>
    <definedName name="solver_nwt" localSheetId="2" hidden="1">1</definedName>
    <definedName name="solver_nwt" localSheetId="3" hidden="1">1</definedName>
    <definedName name="solver_pre" localSheetId="2" hidden="1">0.000001</definedName>
    <definedName name="solver_pre" localSheetId="3" hidden="1">0.000001</definedName>
    <definedName name="solver_rbv" localSheetId="2" hidden="1">1</definedName>
    <definedName name="solver_rbv" localSheetId="3" hidden="1">1</definedName>
    <definedName name="solver_rel1" localSheetId="2" hidden="1">1</definedName>
    <definedName name="solver_rel1" localSheetId="3" hidden="1">1</definedName>
    <definedName name="solver_rel1" localSheetId="0" hidden="1">1</definedName>
    <definedName name="solver_rel10" localSheetId="3" hidden="1">2</definedName>
    <definedName name="solver_rel10" localSheetId="0" hidden="1">1</definedName>
    <definedName name="solver_rel100" localSheetId="3" hidden="1">1</definedName>
    <definedName name="solver_rel100" localSheetId="0" hidden="1">1</definedName>
    <definedName name="solver_rel101" localSheetId="3" hidden="1">4</definedName>
    <definedName name="solver_rel101" localSheetId="0" hidden="1">1</definedName>
    <definedName name="solver_rel102" localSheetId="3" hidden="1">1</definedName>
    <definedName name="solver_rel102" localSheetId="0" hidden="1">4</definedName>
    <definedName name="solver_rel103" localSheetId="3" hidden="1">4</definedName>
    <definedName name="solver_rel103" localSheetId="0" hidden="1">4</definedName>
    <definedName name="solver_rel104" localSheetId="3" hidden="1">4</definedName>
    <definedName name="solver_rel104" localSheetId="0" hidden="1">4</definedName>
    <definedName name="solver_rel105" localSheetId="3" hidden="1">1</definedName>
    <definedName name="solver_rel105" localSheetId="0" hidden="1">2</definedName>
    <definedName name="solver_rel106" localSheetId="3" hidden="1">4</definedName>
    <definedName name="solver_rel106" localSheetId="0" hidden="1">1</definedName>
    <definedName name="solver_rel107" localSheetId="3" hidden="1">1</definedName>
    <definedName name="solver_rel107" localSheetId="0" hidden="1">1</definedName>
    <definedName name="solver_rel108" localSheetId="3" hidden="1">4</definedName>
    <definedName name="solver_rel108" localSheetId="0" hidden="1">1</definedName>
    <definedName name="solver_rel109" localSheetId="3" hidden="1">4</definedName>
    <definedName name="solver_rel109" localSheetId="0" hidden="1">4</definedName>
    <definedName name="solver_rel11" localSheetId="3" hidden="1">4</definedName>
    <definedName name="solver_rel11" localSheetId="0" hidden="1">1</definedName>
    <definedName name="solver_rel110" localSheetId="3" hidden="1">1</definedName>
    <definedName name="solver_rel110" localSheetId="0" hidden="1">4</definedName>
    <definedName name="solver_rel111" localSheetId="3" hidden="1">4</definedName>
    <definedName name="solver_rel111" localSheetId="0" hidden="1">4</definedName>
    <definedName name="solver_rel112" localSheetId="3" hidden="1">4</definedName>
    <definedName name="solver_rel112" localSheetId="0" hidden="1">2</definedName>
    <definedName name="solver_rel113" localSheetId="3" hidden="1">1</definedName>
    <definedName name="solver_rel113" localSheetId="0" hidden="1">1</definedName>
    <definedName name="solver_rel114" localSheetId="3" hidden="1">4</definedName>
    <definedName name="solver_rel114" localSheetId="0" hidden="1">1</definedName>
    <definedName name="solver_rel115" localSheetId="3" hidden="1">4</definedName>
    <definedName name="solver_rel115" localSheetId="0" hidden="1">1</definedName>
    <definedName name="solver_rel116" localSheetId="3" hidden="1">4</definedName>
    <definedName name="solver_rel116" localSheetId="0" hidden="1">4</definedName>
    <definedName name="solver_rel117" localSheetId="3" hidden="1">4</definedName>
    <definedName name="solver_rel117" localSheetId="0" hidden="1">4</definedName>
    <definedName name="solver_rel118" localSheetId="3" hidden="1">4</definedName>
    <definedName name="solver_rel118" localSheetId="0" hidden="1">4</definedName>
    <definedName name="solver_rel119" localSheetId="3" hidden="1">4</definedName>
    <definedName name="solver_rel119" localSheetId="0" hidden="1">2</definedName>
    <definedName name="solver_rel12" localSheetId="3" hidden="1">4</definedName>
    <definedName name="solver_rel12" localSheetId="0" hidden="1">2</definedName>
    <definedName name="solver_rel120" localSheetId="3" hidden="1">4</definedName>
    <definedName name="solver_rel120" localSheetId="0" hidden="1">1</definedName>
    <definedName name="solver_rel121" localSheetId="3" hidden="1">4</definedName>
    <definedName name="solver_rel121" localSheetId="0" hidden="1">1</definedName>
    <definedName name="solver_rel122" localSheetId="3" hidden="1">1</definedName>
    <definedName name="solver_rel122" localSheetId="0" hidden="1">1</definedName>
    <definedName name="solver_rel123" localSheetId="3" hidden="1">4</definedName>
    <definedName name="solver_rel123" localSheetId="0" hidden="1">4</definedName>
    <definedName name="solver_rel124" localSheetId="3" hidden="1">4</definedName>
    <definedName name="solver_rel124" localSheetId="0" hidden="1">4</definedName>
    <definedName name="solver_rel125" localSheetId="3" hidden="1">4</definedName>
    <definedName name="solver_rel125" localSheetId="0" hidden="1">4</definedName>
    <definedName name="solver_rel126" localSheetId="3" hidden="1">4</definedName>
    <definedName name="solver_rel126" localSheetId="0" hidden="1">2</definedName>
    <definedName name="solver_rel127" localSheetId="3" hidden="1">4</definedName>
    <definedName name="solver_rel127" localSheetId="0" hidden="1">1</definedName>
    <definedName name="solver_rel128" localSheetId="3" hidden="1">4</definedName>
    <definedName name="solver_rel128" localSheetId="0" hidden="1">1</definedName>
    <definedName name="solver_rel129" localSheetId="3" hidden="1">4</definedName>
    <definedName name="solver_rel129" localSheetId="0" hidden="1">1</definedName>
    <definedName name="solver_rel13" localSheetId="3" hidden="1">2</definedName>
    <definedName name="solver_rel13" localSheetId="0" hidden="1">1</definedName>
    <definedName name="solver_rel130" localSheetId="3" hidden="1">4</definedName>
    <definedName name="solver_rel130" localSheetId="0" hidden="1">4</definedName>
    <definedName name="solver_rel131" localSheetId="3" hidden="1">4</definedName>
    <definedName name="solver_rel131" localSheetId="0" hidden="1">4</definedName>
    <definedName name="solver_rel132" localSheetId="3" hidden="1">4</definedName>
    <definedName name="solver_rel132" localSheetId="0" hidden="1">4</definedName>
    <definedName name="solver_rel133" localSheetId="3" hidden="1">1</definedName>
    <definedName name="solver_rel133" localSheetId="0" hidden="1">2</definedName>
    <definedName name="solver_rel134" localSheetId="3" hidden="1">4</definedName>
    <definedName name="solver_rel135" localSheetId="3" hidden="1">4</definedName>
    <definedName name="solver_rel136" localSheetId="3" hidden="1">4</definedName>
    <definedName name="solver_rel137" localSheetId="3" hidden="1">4</definedName>
    <definedName name="solver_rel138" localSheetId="3" hidden="1">1</definedName>
    <definedName name="solver_rel139" localSheetId="3" hidden="1">4</definedName>
    <definedName name="solver_rel14" localSheetId="3" hidden="1">2</definedName>
    <definedName name="solver_rel14" localSheetId="0" hidden="1">1</definedName>
    <definedName name="solver_rel140" localSheetId="3" hidden="1">4</definedName>
    <definedName name="solver_rel141" localSheetId="3" hidden="1">4</definedName>
    <definedName name="solver_rel142" localSheetId="3" hidden="1">4</definedName>
    <definedName name="solver_rel143" localSheetId="3" hidden="1">1</definedName>
    <definedName name="solver_rel144" localSheetId="3" hidden="1">4</definedName>
    <definedName name="solver_rel145" localSheetId="3" hidden="1">4</definedName>
    <definedName name="solver_rel146" localSheetId="3" hidden="1">4</definedName>
    <definedName name="solver_rel147" localSheetId="3" hidden="1">1</definedName>
    <definedName name="solver_rel148" localSheetId="3" hidden="1">4</definedName>
    <definedName name="solver_rel149" localSheetId="3" hidden="1">4</definedName>
    <definedName name="solver_rel15" localSheetId="3" hidden="1">2</definedName>
    <definedName name="solver_rel15" localSheetId="0" hidden="1">1</definedName>
    <definedName name="solver_rel150" localSheetId="3" hidden="1">4</definedName>
    <definedName name="solver_rel151" localSheetId="3" hidden="1">4</definedName>
    <definedName name="solver_rel152" localSheetId="3" hidden="1">1</definedName>
    <definedName name="solver_rel153" localSheetId="3" hidden="1">4</definedName>
    <definedName name="solver_rel154" localSheetId="3" hidden="1">4</definedName>
    <definedName name="solver_rel155" localSheetId="3" hidden="1">4</definedName>
    <definedName name="solver_rel156" localSheetId="3" hidden="1">4</definedName>
    <definedName name="solver_rel157" localSheetId="3" hidden="1">4</definedName>
    <definedName name="solver_rel158" localSheetId="3" hidden="1">4</definedName>
    <definedName name="solver_rel159" localSheetId="3" hidden="1">4</definedName>
    <definedName name="solver_rel16" localSheetId="3" hidden="1">1</definedName>
    <definedName name="solver_rel16" localSheetId="0" hidden="1">2</definedName>
    <definedName name="solver_rel160" localSheetId="3" hidden="1">4</definedName>
    <definedName name="solver_rel161" localSheetId="3" hidden="1">4</definedName>
    <definedName name="solver_rel162" localSheetId="3" hidden="1">4</definedName>
    <definedName name="solver_rel163" localSheetId="3" hidden="1">4</definedName>
    <definedName name="solver_rel164" localSheetId="3" hidden="1">4</definedName>
    <definedName name="solver_rel165" localSheetId="3" hidden="1">4</definedName>
    <definedName name="solver_rel166" localSheetId="3" hidden="1">4</definedName>
    <definedName name="solver_rel167" localSheetId="3" hidden="1">4</definedName>
    <definedName name="solver_rel168" localSheetId="3" hidden="1">4</definedName>
    <definedName name="solver_rel169" localSheetId="3" hidden="1">4</definedName>
    <definedName name="solver_rel17" localSheetId="3" hidden="1">1</definedName>
    <definedName name="solver_rel17" localSheetId="0" hidden="1">1</definedName>
    <definedName name="solver_rel170" localSheetId="3" hidden="1">4</definedName>
    <definedName name="solver_rel171" localSheetId="3" hidden="1">4</definedName>
    <definedName name="solver_rel172" localSheetId="3" hidden="1">4</definedName>
    <definedName name="solver_rel173" localSheetId="3" hidden="1">4</definedName>
    <definedName name="solver_rel174" localSheetId="3" hidden="1">4</definedName>
    <definedName name="solver_rel175" localSheetId="3" hidden="1">4</definedName>
    <definedName name="solver_rel176" localSheetId="3" hidden="1">4</definedName>
    <definedName name="solver_rel177" localSheetId="3" hidden="1">4</definedName>
    <definedName name="solver_rel178" localSheetId="3" hidden="1">4</definedName>
    <definedName name="solver_rel179" localSheetId="3" hidden="1">4</definedName>
    <definedName name="solver_rel18" localSheetId="3" hidden="1">1</definedName>
    <definedName name="solver_rel18" localSheetId="0" hidden="1">1</definedName>
    <definedName name="solver_rel180" localSheetId="3" hidden="1">4</definedName>
    <definedName name="solver_rel181" localSheetId="3" hidden="1">4</definedName>
    <definedName name="solver_rel182" localSheetId="3" hidden="1">1</definedName>
    <definedName name="solver_rel183" localSheetId="3" hidden="1">4</definedName>
    <definedName name="solver_rel184" localSheetId="3" hidden="1">4</definedName>
    <definedName name="solver_rel185" localSheetId="3" hidden="1">4</definedName>
    <definedName name="solver_rel186" localSheetId="3" hidden="1">4</definedName>
    <definedName name="solver_rel187" localSheetId="3" hidden="1">4</definedName>
    <definedName name="solver_rel188" localSheetId="3" hidden="1">1</definedName>
    <definedName name="solver_rel189" localSheetId="3" hidden="1">4</definedName>
    <definedName name="solver_rel19" localSheetId="3" hidden="1">1</definedName>
    <definedName name="solver_rel19" localSheetId="0" hidden="1">1</definedName>
    <definedName name="solver_rel190" localSheetId="3" hidden="1">4</definedName>
    <definedName name="solver_rel191" localSheetId="3" hidden="1">4</definedName>
    <definedName name="solver_rel192" localSheetId="3" hidden="1">4</definedName>
    <definedName name="solver_rel193" localSheetId="3" hidden="1">4</definedName>
    <definedName name="solver_rel194" localSheetId="3" hidden="1">4</definedName>
    <definedName name="solver_rel195" localSheetId="3" hidden="1">4</definedName>
    <definedName name="solver_rel196" localSheetId="3" hidden="1">4</definedName>
    <definedName name="solver_rel197" localSheetId="3" hidden="1">4</definedName>
    <definedName name="solver_rel198" localSheetId="3" hidden="1">4</definedName>
    <definedName name="solver_rel199" localSheetId="3" hidden="1">1</definedName>
    <definedName name="solver_rel2" localSheetId="2" hidden="1">1</definedName>
    <definedName name="solver_rel2" localSheetId="3" hidden="1">3</definedName>
    <definedName name="solver_rel2" localSheetId="0" hidden="1">1</definedName>
    <definedName name="solver_rel20" localSheetId="3" hidden="1">1</definedName>
    <definedName name="solver_rel20" localSheetId="0" hidden="1">2</definedName>
    <definedName name="solver_rel200" localSheetId="3" hidden="1">4</definedName>
    <definedName name="solver_rel201" localSheetId="3" hidden="1">4</definedName>
    <definedName name="solver_rel202" localSheetId="3" hidden="1">4</definedName>
    <definedName name="solver_rel203" localSheetId="3" hidden="1">1</definedName>
    <definedName name="solver_rel204" localSheetId="3" hidden="1">4</definedName>
    <definedName name="solver_rel205" localSheetId="3" hidden="1">4</definedName>
    <definedName name="solver_rel206" localSheetId="3" hidden="1">4</definedName>
    <definedName name="solver_rel207" localSheetId="3" hidden="1">4</definedName>
    <definedName name="solver_rel208" localSheetId="3" hidden="1">4</definedName>
    <definedName name="solver_rel209" localSheetId="3" hidden="1">4</definedName>
    <definedName name="solver_rel21" localSheetId="3" hidden="1">1</definedName>
    <definedName name="solver_rel21" localSheetId="0" hidden="1">1</definedName>
    <definedName name="solver_rel210" localSheetId="3" hidden="1">4</definedName>
    <definedName name="solver_rel211" localSheetId="3" hidden="1">4</definedName>
    <definedName name="solver_rel212" localSheetId="3" hidden="1">4</definedName>
    <definedName name="solver_rel213" localSheetId="3" hidden="1">4</definedName>
    <definedName name="solver_rel214" localSheetId="3" hidden="1">4</definedName>
    <definedName name="solver_rel215" localSheetId="3" hidden="1">4</definedName>
    <definedName name="solver_rel216" localSheetId="3" hidden="1">4</definedName>
    <definedName name="solver_rel217" localSheetId="3" hidden="1">4</definedName>
    <definedName name="solver_rel218" localSheetId="3" hidden="1">4</definedName>
    <definedName name="solver_rel219" localSheetId="3" hidden="1">4</definedName>
    <definedName name="solver_rel22" localSheetId="3" hidden="1">1</definedName>
    <definedName name="solver_rel22" localSheetId="0" hidden="1">1</definedName>
    <definedName name="solver_rel220" localSheetId="3" hidden="1">1</definedName>
    <definedName name="solver_rel221" localSheetId="3" hidden="1">1</definedName>
    <definedName name="solver_rel222" localSheetId="3" hidden="1">4</definedName>
    <definedName name="solver_rel223" localSheetId="3" hidden="1">1</definedName>
    <definedName name="solver_rel224" localSheetId="3" hidden="1">1</definedName>
    <definedName name="solver_rel225" localSheetId="3" hidden="1">4</definedName>
    <definedName name="solver_rel226" localSheetId="3" hidden="1">1</definedName>
    <definedName name="solver_rel227" localSheetId="3" hidden="1">1</definedName>
    <definedName name="solver_rel228" localSheetId="3" hidden="1">1</definedName>
    <definedName name="solver_rel229" localSheetId="3" hidden="1">4</definedName>
    <definedName name="solver_rel23" localSheetId="3" hidden="1">1</definedName>
    <definedName name="solver_rel23" localSheetId="0" hidden="1">1</definedName>
    <definedName name="solver_rel230" localSheetId="3" hidden="1">1</definedName>
    <definedName name="solver_rel231" localSheetId="3" hidden="1">4</definedName>
    <definedName name="solver_rel232" localSheetId="3" hidden="1">1</definedName>
    <definedName name="solver_rel233" localSheetId="3" hidden="1">1</definedName>
    <definedName name="solver_rel234" localSheetId="3" hidden="1">1</definedName>
    <definedName name="solver_rel235" localSheetId="3" hidden="1">1</definedName>
    <definedName name="solver_rel236" localSheetId="3" hidden="1">1</definedName>
    <definedName name="solver_rel237" localSheetId="3" hidden="1">1</definedName>
    <definedName name="solver_rel238" localSheetId="3" hidden="1">1</definedName>
    <definedName name="solver_rel239" localSheetId="3" hidden="1">4</definedName>
    <definedName name="solver_rel24" localSheetId="3" hidden="1">1</definedName>
    <definedName name="solver_rel24" localSheetId="0" hidden="1">2</definedName>
    <definedName name="solver_rel240" localSheetId="3" hidden="1">1</definedName>
    <definedName name="solver_rel241" localSheetId="3" hidden="1">1</definedName>
    <definedName name="solver_rel242" localSheetId="3" hidden="1">1</definedName>
    <definedName name="solver_rel243" localSheetId="3" hidden="1">1</definedName>
    <definedName name="solver_rel244" localSheetId="3" hidden="1">1</definedName>
    <definedName name="solver_rel245" localSheetId="3" hidden="1">1</definedName>
    <definedName name="solver_rel246" localSheetId="3" hidden="1">1</definedName>
    <definedName name="solver_rel247" localSheetId="3" hidden="1">1</definedName>
    <definedName name="solver_rel248" localSheetId="3" hidden="1">4</definedName>
    <definedName name="solver_rel249" localSheetId="3" hidden="1">4</definedName>
    <definedName name="solver_rel25" localSheetId="3" hidden="1">1</definedName>
    <definedName name="solver_rel25" localSheetId="0" hidden="1">1</definedName>
    <definedName name="solver_rel250" localSheetId="3" hidden="1">4</definedName>
    <definedName name="solver_rel251" localSheetId="3" hidden="1">4</definedName>
    <definedName name="solver_rel252" localSheetId="3" hidden="1">4</definedName>
    <definedName name="solver_rel253" localSheetId="3" hidden="1">4</definedName>
    <definedName name="solver_rel254" localSheetId="3" hidden="1">1</definedName>
    <definedName name="solver_rel255" localSheetId="3" hidden="1">1</definedName>
    <definedName name="solver_rel256" localSheetId="3" hidden="1">1</definedName>
    <definedName name="solver_rel257" localSheetId="3" hidden="1">1</definedName>
    <definedName name="solver_rel258" localSheetId="3" hidden="1">1</definedName>
    <definedName name="solver_rel259" localSheetId="3" hidden="1">1</definedName>
    <definedName name="solver_rel26" localSheetId="3" hidden="1">1</definedName>
    <definedName name="solver_rel26" localSheetId="0" hidden="1">1</definedName>
    <definedName name="solver_rel260" localSheetId="3" hidden="1">1</definedName>
    <definedName name="solver_rel261" localSheetId="3" hidden="1">1</definedName>
    <definedName name="solver_rel262" localSheetId="3" hidden="1">1</definedName>
    <definedName name="solver_rel263" localSheetId="3" hidden="1">1</definedName>
    <definedName name="solver_rel264" localSheetId="3" hidden="1">1</definedName>
    <definedName name="solver_rel265" localSheetId="3" hidden="1">1</definedName>
    <definedName name="solver_rel266" localSheetId="3" hidden="1">1</definedName>
    <definedName name="solver_rel267" localSheetId="3" hidden="1">1</definedName>
    <definedName name="solver_rel268" localSheetId="3" hidden="1">1</definedName>
    <definedName name="solver_rel269" localSheetId="3" hidden="1">1</definedName>
    <definedName name="solver_rel27" localSheetId="3" hidden="1">1</definedName>
    <definedName name="solver_rel27" localSheetId="0" hidden="1">1</definedName>
    <definedName name="solver_rel270" localSheetId="3" hidden="1">1</definedName>
    <definedName name="solver_rel271" localSheetId="3" hidden="1">1</definedName>
    <definedName name="solver_rel272" localSheetId="3" hidden="1">1</definedName>
    <definedName name="solver_rel273" localSheetId="3" hidden="1">1</definedName>
    <definedName name="solver_rel274" localSheetId="3" hidden="1">1</definedName>
    <definedName name="solver_rel275" localSheetId="3" hidden="1">1</definedName>
    <definedName name="solver_rel276" localSheetId="3" hidden="1">1</definedName>
    <definedName name="solver_rel277" localSheetId="3" hidden="1">1</definedName>
    <definedName name="solver_rel278" localSheetId="3" hidden="1">1</definedName>
    <definedName name="solver_rel279" localSheetId="3" hidden="1">1</definedName>
    <definedName name="solver_rel28" localSheetId="3" hidden="1">1</definedName>
    <definedName name="solver_rel28" localSheetId="0" hidden="1">2</definedName>
    <definedName name="solver_rel280" localSheetId="3" hidden="1">1</definedName>
    <definedName name="solver_rel281" localSheetId="3" hidden="1">1</definedName>
    <definedName name="solver_rel282" localSheetId="3" hidden="1">1</definedName>
    <definedName name="solver_rel283" localSheetId="3" hidden="1">1</definedName>
    <definedName name="solver_rel284" localSheetId="3" hidden="1">1</definedName>
    <definedName name="solver_rel285" localSheetId="3" hidden="1">1</definedName>
    <definedName name="solver_rel286" localSheetId="3" hidden="1">1</definedName>
    <definedName name="solver_rel287" localSheetId="3" hidden="1">1</definedName>
    <definedName name="solver_rel288" localSheetId="3" hidden="1">1</definedName>
    <definedName name="solver_rel289" localSheetId="3" hidden="1">1</definedName>
    <definedName name="solver_rel29" localSheetId="3" hidden="1">1</definedName>
    <definedName name="solver_rel29" localSheetId="0" hidden="1">1</definedName>
    <definedName name="solver_rel290" localSheetId="3" hidden="1">1</definedName>
    <definedName name="solver_rel291" localSheetId="3" hidden="1">1</definedName>
    <definedName name="solver_rel292" localSheetId="3" hidden="1">1</definedName>
    <definedName name="solver_rel293" localSheetId="3" hidden="1">1</definedName>
    <definedName name="solver_rel294" localSheetId="3" hidden="1">1</definedName>
    <definedName name="solver_rel295" localSheetId="3" hidden="1">1</definedName>
    <definedName name="solver_rel296" localSheetId="3" hidden="1">1</definedName>
    <definedName name="solver_rel297" localSheetId="3" hidden="1">1</definedName>
    <definedName name="solver_rel298" localSheetId="3" hidden="1">1</definedName>
    <definedName name="solver_rel299" localSheetId="3" hidden="1">1</definedName>
    <definedName name="solver_rel3" localSheetId="2" hidden="1">1</definedName>
    <definedName name="solver_rel3" localSheetId="3" hidden="1">1</definedName>
    <definedName name="solver_rel3" localSheetId="0" hidden="1">1</definedName>
    <definedName name="solver_rel30" localSheetId="3" hidden="1">1</definedName>
    <definedName name="solver_rel30" localSheetId="0" hidden="1">1</definedName>
    <definedName name="solver_rel300" localSheetId="3" hidden="1">1</definedName>
    <definedName name="solver_rel301" localSheetId="3" hidden="1">1</definedName>
    <definedName name="solver_rel302" localSheetId="3" hidden="1">1</definedName>
    <definedName name="solver_rel303" localSheetId="3" hidden="1">1</definedName>
    <definedName name="solver_rel304" localSheetId="3" hidden="1">4</definedName>
    <definedName name="solver_rel305" localSheetId="3" hidden="1">1</definedName>
    <definedName name="solver_rel306" localSheetId="3" hidden="1">1</definedName>
    <definedName name="solver_rel307" localSheetId="3" hidden="1">1</definedName>
    <definedName name="solver_rel308" localSheetId="3" hidden="1">1</definedName>
    <definedName name="solver_rel309" localSheetId="3" hidden="1">1</definedName>
    <definedName name="solver_rel31" localSheetId="3" hidden="1">1</definedName>
    <definedName name="solver_rel31" localSheetId="0" hidden="1">1</definedName>
    <definedName name="solver_rel310" localSheetId="3" hidden="1">1</definedName>
    <definedName name="solver_rel311" localSheetId="3" hidden="1">1</definedName>
    <definedName name="solver_rel312" localSheetId="3" hidden="1">1</definedName>
    <definedName name="solver_rel313" localSheetId="3" hidden="1">1</definedName>
    <definedName name="solver_rel314" localSheetId="3" hidden="1">1</definedName>
    <definedName name="solver_rel315" localSheetId="3" hidden="1">1</definedName>
    <definedName name="solver_rel316" localSheetId="3" hidden="1">1</definedName>
    <definedName name="solver_rel317" localSheetId="3" hidden="1">1</definedName>
    <definedName name="solver_rel318" localSheetId="3" hidden="1">1</definedName>
    <definedName name="solver_rel319" localSheetId="3" hidden="1">1</definedName>
    <definedName name="solver_rel32" localSheetId="3" hidden="1">1</definedName>
    <definedName name="solver_rel32" localSheetId="0" hidden="1">2</definedName>
    <definedName name="solver_rel320" localSheetId="3" hidden="1">1</definedName>
    <definedName name="solver_rel321" localSheetId="3" hidden="1">1</definedName>
    <definedName name="solver_rel322" localSheetId="3" hidden="1">1</definedName>
    <definedName name="solver_rel323" localSheetId="3" hidden="1">1</definedName>
    <definedName name="solver_rel324" localSheetId="3" hidden="1">1</definedName>
    <definedName name="solver_rel325" localSheetId="3" hidden="1">1</definedName>
    <definedName name="solver_rel326" localSheetId="3" hidden="1">1</definedName>
    <definedName name="solver_rel327" localSheetId="3" hidden="1">1</definedName>
    <definedName name="solver_rel328" localSheetId="3" hidden="1">1</definedName>
    <definedName name="solver_rel329" localSheetId="3" hidden="1">1</definedName>
    <definedName name="solver_rel33" localSheetId="3" hidden="1">1</definedName>
    <definedName name="solver_rel33" localSheetId="0" hidden="1">1</definedName>
    <definedName name="solver_rel330" localSheetId="3" hidden="1">1</definedName>
    <definedName name="solver_rel331" localSheetId="3" hidden="1">1</definedName>
    <definedName name="solver_rel332" localSheetId="3" hidden="1">1</definedName>
    <definedName name="solver_rel333" localSheetId="3" hidden="1">1</definedName>
    <definedName name="solver_rel334" localSheetId="3" hidden="1">1</definedName>
    <definedName name="solver_rel335" localSheetId="3" hidden="1">1</definedName>
    <definedName name="solver_rel336" localSheetId="3" hidden="1">1</definedName>
    <definedName name="solver_rel337" localSheetId="3" hidden="1">1</definedName>
    <definedName name="solver_rel338" localSheetId="3" hidden="1">1</definedName>
    <definedName name="solver_rel339" localSheetId="3" hidden="1">1</definedName>
    <definedName name="solver_rel34" localSheetId="3" hidden="1">1</definedName>
    <definedName name="solver_rel34" localSheetId="0" hidden="1">1</definedName>
    <definedName name="solver_rel340" localSheetId="3" hidden="1">1</definedName>
    <definedName name="solver_rel341" localSheetId="3" hidden="1">4</definedName>
    <definedName name="solver_rel342" localSheetId="3" hidden="1">4</definedName>
    <definedName name="solver_rel343" localSheetId="3" hidden="1">1</definedName>
    <definedName name="solver_rel344" localSheetId="3" hidden="1">4</definedName>
    <definedName name="solver_rel345" localSheetId="3" hidden="1">1</definedName>
    <definedName name="solver_rel346" localSheetId="3" hidden="1">4</definedName>
    <definedName name="solver_rel347" localSheetId="3" hidden="1">4</definedName>
    <definedName name="solver_rel348" localSheetId="3" hidden="1">4</definedName>
    <definedName name="solver_rel349" localSheetId="3" hidden="1">1</definedName>
    <definedName name="solver_rel35" localSheetId="3" hidden="1">1</definedName>
    <definedName name="solver_rel35" localSheetId="0" hidden="1">1</definedName>
    <definedName name="solver_rel350" localSheetId="3" hidden="1">4</definedName>
    <definedName name="solver_rel351" localSheetId="3" hidden="1">4</definedName>
    <definedName name="solver_rel352" localSheetId="3" hidden="1">1</definedName>
    <definedName name="solver_rel353" localSheetId="3" hidden="1">4</definedName>
    <definedName name="solver_rel354" localSheetId="3" hidden="1">4</definedName>
    <definedName name="solver_rel355" localSheetId="3" hidden="1">1</definedName>
    <definedName name="solver_rel356" localSheetId="3" hidden="1">4</definedName>
    <definedName name="solver_rel357" localSheetId="3" hidden="1">4</definedName>
    <definedName name="solver_rel358" localSheetId="3" hidden="1">4</definedName>
    <definedName name="solver_rel359" localSheetId="3" hidden="1">4</definedName>
    <definedName name="solver_rel36" localSheetId="3" hidden="1">1</definedName>
    <definedName name="solver_rel36" localSheetId="0" hidden="1">2</definedName>
    <definedName name="solver_rel360" localSheetId="3" hidden="1">4</definedName>
    <definedName name="solver_rel361" localSheetId="3" hidden="1">4</definedName>
    <definedName name="solver_rel362" localSheetId="3" hidden="1">4</definedName>
    <definedName name="solver_rel363" localSheetId="3" hidden="1">4</definedName>
    <definedName name="solver_rel364" localSheetId="3" hidden="1">4</definedName>
    <definedName name="solver_rel365" localSheetId="3" hidden="1">4</definedName>
    <definedName name="solver_rel366" localSheetId="3" hidden="1">4</definedName>
    <definedName name="solver_rel367" localSheetId="3" hidden="1">1</definedName>
    <definedName name="solver_rel368" localSheetId="3" hidden="1">4</definedName>
    <definedName name="solver_rel369" localSheetId="3" hidden="1">4</definedName>
    <definedName name="solver_rel37" localSheetId="3" hidden="1">1</definedName>
    <definedName name="solver_rel37" localSheetId="0" hidden="1">1</definedName>
    <definedName name="solver_rel370" localSheetId="3" hidden="1">4</definedName>
    <definedName name="solver_rel371" localSheetId="3" hidden="1">4</definedName>
    <definedName name="solver_rel372" localSheetId="3" hidden="1">4</definedName>
    <definedName name="solver_rel373" localSheetId="3" hidden="1">4</definedName>
    <definedName name="solver_rel374" localSheetId="3" hidden="1">4</definedName>
    <definedName name="solver_rel375" localSheetId="3" hidden="1">4</definedName>
    <definedName name="solver_rel376" localSheetId="3" hidden="1">4</definedName>
    <definedName name="solver_rel377" localSheetId="3" hidden="1">4</definedName>
    <definedName name="solver_rel378" localSheetId="3" hidden="1">4</definedName>
    <definedName name="solver_rel379" localSheetId="3" hidden="1">4</definedName>
    <definedName name="solver_rel38" localSheetId="3" hidden="1">1</definedName>
    <definedName name="solver_rel38" localSheetId="0" hidden="1">1</definedName>
    <definedName name="solver_rel380" localSheetId="3" hidden="1">4</definedName>
    <definedName name="solver_rel381" localSheetId="3" hidden="1">4</definedName>
    <definedName name="solver_rel382" localSheetId="3" hidden="1">4</definedName>
    <definedName name="solver_rel383" localSheetId="3" hidden="1">4</definedName>
    <definedName name="solver_rel384" localSheetId="3" hidden="1">4</definedName>
    <definedName name="solver_rel385" localSheetId="3" hidden="1">4</definedName>
    <definedName name="solver_rel386" localSheetId="3" hidden="1">4</definedName>
    <definedName name="solver_rel387" localSheetId="3" hidden="1">4</definedName>
    <definedName name="solver_rel388" localSheetId="3" hidden="1">4</definedName>
    <definedName name="solver_rel389" localSheetId="3" hidden="1">4</definedName>
    <definedName name="solver_rel39" localSheetId="3" hidden="1">1</definedName>
    <definedName name="solver_rel39" localSheetId="0" hidden="1">4</definedName>
    <definedName name="solver_rel390" localSheetId="3" hidden="1">4</definedName>
    <definedName name="solver_rel391" localSheetId="3" hidden="1">4</definedName>
    <definedName name="solver_rel392" localSheetId="3" hidden="1">4</definedName>
    <definedName name="solver_rel393" localSheetId="3" hidden="1">4</definedName>
    <definedName name="solver_rel394" localSheetId="3" hidden="1">4</definedName>
    <definedName name="solver_rel395" localSheetId="3" hidden="1">4</definedName>
    <definedName name="solver_rel396" localSheetId="3" hidden="1">4</definedName>
    <definedName name="solver_rel397" localSheetId="3" hidden="1">4</definedName>
    <definedName name="solver_rel398" localSheetId="3" hidden="1">4</definedName>
    <definedName name="solver_rel399" localSheetId="3" hidden="1">4</definedName>
    <definedName name="solver_rel4" localSheetId="2" hidden="1">2</definedName>
    <definedName name="solver_rel4" localSheetId="3" hidden="1">3</definedName>
    <definedName name="solver_rel4" localSheetId="0" hidden="1">2</definedName>
    <definedName name="solver_rel40" localSheetId="3" hidden="1">1</definedName>
    <definedName name="solver_rel40" localSheetId="0" hidden="1">4</definedName>
    <definedName name="solver_rel400" localSheetId="3" hidden="1">4</definedName>
    <definedName name="solver_rel401" localSheetId="3" hidden="1">4</definedName>
    <definedName name="solver_rel402" localSheetId="3" hidden="1">4</definedName>
    <definedName name="solver_rel403" localSheetId="3" hidden="1">4</definedName>
    <definedName name="solver_rel404" localSheetId="3" hidden="1">4</definedName>
    <definedName name="solver_rel405" localSheetId="3" hidden="1">4</definedName>
    <definedName name="solver_rel406" localSheetId="3" hidden="1">1</definedName>
    <definedName name="solver_rel407" localSheetId="3" hidden="1">4</definedName>
    <definedName name="solver_rel408" localSheetId="3" hidden="1">4</definedName>
    <definedName name="solver_rel409" localSheetId="3" hidden="1">4</definedName>
    <definedName name="solver_rel41" localSheetId="3" hidden="1">1</definedName>
    <definedName name="solver_rel41" localSheetId="0" hidden="1">4</definedName>
    <definedName name="solver_rel410" localSheetId="3" hidden="1">4</definedName>
    <definedName name="solver_rel411" localSheetId="3" hidden="1">4</definedName>
    <definedName name="solver_rel412" localSheetId="3" hidden="1">4</definedName>
    <definedName name="solver_rel413" localSheetId="3" hidden="1">4</definedName>
    <definedName name="solver_rel414" localSheetId="3" hidden="1">4</definedName>
    <definedName name="solver_rel415" localSheetId="3" hidden="1">4</definedName>
    <definedName name="solver_rel416" localSheetId="3" hidden="1">4</definedName>
    <definedName name="solver_rel417" localSheetId="3" hidden="1">4</definedName>
    <definedName name="solver_rel418" localSheetId="3" hidden="1">4</definedName>
    <definedName name="solver_rel419" localSheetId="3" hidden="1">4</definedName>
    <definedName name="solver_rel42" localSheetId="3" hidden="1">1</definedName>
    <definedName name="solver_rel42" localSheetId="0" hidden="1">2</definedName>
    <definedName name="solver_rel420" localSheetId="3" hidden="1">4</definedName>
    <definedName name="solver_rel421" localSheetId="3" hidden="1">4</definedName>
    <definedName name="solver_rel422" localSheetId="3" hidden="1">4</definedName>
    <definedName name="solver_rel423" localSheetId="3" hidden="1">4</definedName>
    <definedName name="solver_rel424" localSheetId="3" hidden="1">4</definedName>
    <definedName name="solver_rel425" localSheetId="3" hidden="1">4</definedName>
    <definedName name="solver_rel426" localSheetId="3" hidden="1">4</definedName>
    <definedName name="solver_rel427" localSheetId="3" hidden="1">4</definedName>
    <definedName name="solver_rel428" localSheetId="3" hidden="1">4</definedName>
    <definedName name="solver_rel429" localSheetId="3" hidden="1">4</definedName>
    <definedName name="solver_rel43" localSheetId="3" hidden="1">1</definedName>
    <definedName name="solver_rel43" localSheetId="0" hidden="1">1</definedName>
    <definedName name="solver_rel430" localSheetId="3" hidden="1">4</definedName>
    <definedName name="solver_rel431" localSheetId="3" hidden="1">4</definedName>
    <definedName name="solver_rel432" localSheetId="3" hidden="1">4</definedName>
    <definedName name="solver_rel433" localSheetId="3" hidden="1">4</definedName>
    <definedName name="solver_rel434" localSheetId="3" hidden="1">4</definedName>
    <definedName name="solver_rel435" localSheetId="3" hidden="1">4</definedName>
    <definedName name="solver_rel436" localSheetId="3" hidden="1">4</definedName>
    <definedName name="solver_rel437" localSheetId="3" hidden="1">4</definedName>
    <definedName name="solver_rel438" localSheetId="3" hidden="1">4</definedName>
    <definedName name="solver_rel439" localSheetId="3" hidden="1">4</definedName>
    <definedName name="solver_rel44" localSheetId="3" hidden="1">1</definedName>
    <definedName name="solver_rel44" localSheetId="0" hidden="1">1</definedName>
    <definedName name="solver_rel440" localSheetId="3" hidden="1">4</definedName>
    <definedName name="solver_rel441" localSheetId="3" hidden="1">4</definedName>
    <definedName name="solver_rel442" localSheetId="3" hidden="1">4</definedName>
    <definedName name="solver_rel443" localSheetId="3" hidden="1">4</definedName>
    <definedName name="solver_rel444" localSheetId="3" hidden="1">4</definedName>
    <definedName name="solver_rel445" localSheetId="3" hidden="1">4</definedName>
    <definedName name="solver_rel446" localSheetId="3" hidden="1">4</definedName>
    <definedName name="solver_rel447" localSheetId="3" hidden="1">4</definedName>
    <definedName name="solver_rel448" localSheetId="3" hidden="1">4</definedName>
    <definedName name="solver_rel449" localSheetId="3" hidden="1">4</definedName>
    <definedName name="solver_rel45" localSheetId="3" hidden="1">1</definedName>
    <definedName name="solver_rel45" localSheetId="0" hidden="1">1</definedName>
    <definedName name="solver_rel450" localSheetId="3" hidden="1">4</definedName>
    <definedName name="solver_rel451" localSheetId="3" hidden="1">4</definedName>
    <definedName name="solver_rel452" localSheetId="3" hidden="1">4</definedName>
    <definedName name="solver_rel453" localSheetId="3" hidden="1">4</definedName>
    <definedName name="solver_rel454" localSheetId="3" hidden="1">4</definedName>
    <definedName name="solver_rel455" localSheetId="3" hidden="1">4</definedName>
    <definedName name="solver_rel456" localSheetId="3" hidden="1">1</definedName>
    <definedName name="solver_rel457" localSheetId="3" hidden="1">4</definedName>
    <definedName name="solver_rel458" localSheetId="3" hidden="1">1</definedName>
    <definedName name="solver_rel459" localSheetId="3" hidden="1">1</definedName>
    <definedName name="solver_rel46" localSheetId="3" hidden="1">1</definedName>
    <definedName name="solver_rel46" localSheetId="0" hidden="1">4</definedName>
    <definedName name="solver_rel460" localSheetId="3" hidden="1">4</definedName>
    <definedName name="solver_rel461" localSheetId="3" hidden="1">1</definedName>
    <definedName name="solver_rel462" localSheetId="3" hidden="1">1</definedName>
    <definedName name="solver_rel463" localSheetId="3" hidden="1">4</definedName>
    <definedName name="solver_rel464" localSheetId="3" hidden="1">1</definedName>
    <definedName name="solver_rel465" localSheetId="3" hidden="1">1</definedName>
    <definedName name="solver_rel466" localSheetId="3" hidden="1">4</definedName>
    <definedName name="solver_rel467" localSheetId="3" hidden="1">1</definedName>
    <definedName name="solver_rel468" localSheetId="3" hidden="1">1</definedName>
    <definedName name="solver_rel469" localSheetId="3" hidden="1">1</definedName>
    <definedName name="solver_rel47" localSheetId="3" hidden="1">1</definedName>
    <definedName name="solver_rel47" localSheetId="0" hidden="1">4</definedName>
    <definedName name="solver_rel470" localSheetId="3" hidden="1">1</definedName>
    <definedName name="solver_rel471" localSheetId="3" hidden="1">1</definedName>
    <definedName name="solver_rel472" localSheetId="3" hidden="1">4</definedName>
    <definedName name="solver_rel473" localSheetId="3" hidden="1">1</definedName>
    <definedName name="solver_rel474" localSheetId="3" hidden="1">1</definedName>
    <definedName name="solver_rel475" localSheetId="3" hidden="1">4</definedName>
    <definedName name="solver_rel476" localSheetId="3" hidden="1">1</definedName>
    <definedName name="solver_rel477" localSheetId="3" hidden="1">1</definedName>
    <definedName name="solver_rel478" localSheetId="3" hidden="1">1</definedName>
    <definedName name="solver_rel479" localSheetId="3" hidden="1">1</definedName>
    <definedName name="solver_rel48" localSheetId="3" hidden="1">1</definedName>
    <definedName name="solver_rel48" localSheetId="0" hidden="1">4</definedName>
    <definedName name="solver_rel480" localSheetId="3" hidden="1">1</definedName>
    <definedName name="solver_rel481" localSheetId="3" hidden="1">1</definedName>
    <definedName name="solver_rel482" localSheetId="3" hidden="1">1</definedName>
    <definedName name="solver_rel483" localSheetId="3" hidden="1">1</definedName>
    <definedName name="solver_rel484" localSheetId="3" hidden="1">1</definedName>
    <definedName name="solver_rel485" localSheetId="3" hidden="1">1</definedName>
    <definedName name="solver_rel486" localSheetId="3" hidden="1">1</definedName>
    <definedName name="solver_rel487" localSheetId="3" hidden="1">1</definedName>
    <definedName name="solver_rel488" localSheetId="3" hidden="1">4</definedName>
    <definedName name="solver_rel489" localSheetId="3" hidden="1">1</definedName>
    <definedName name="solver_rel49" localSheetId="3" hidden="1">1</definedName>
    <definedName name="solver_rel49" localSheetId="0" hidden="1">2</definedName>
    <definedName name="solver_rel490" localSheetId="3" hidden="1">1</definedName>
    <definedName name="solver_rel491" localSheetId="3" hidden="1">1</definedName>
    <definedName name="solver_rel492" localSheetId="3" hidden="1">1</definedName>
    <definedName name="solver_rel493" localSheetId="3" hidden="1">1</definedName>
    <definedName name="solver_rel494" localSheetId="3" hidden="1">1</definedName>
    <definedName name="solver_rel495" localSheetId="3" hidden="1">1</definedName>
    <definedName name="solver_rel496" localSheetId="3" hidden="1">1</definedName>
    <definedName name="solver_rel497" localSheetId="3" hidden="1">1</definedName>
    <definedName name="solver_rel498" localSheetId="3" hidden="1">1</definedName>
    <definedName name="solver_rel499" localSheetId="3" hidden="1">1</definedName>
    <definedName name="solver_rel5" localSheetId="3" hidden="1">1</definedName>
    <definedName name="solver_rel5" localSheetId="0" hidden="1">1</definedName>
    <definedName name="solver_rel50" localSheetId="3" hidden="1">1</definedName>
    <definedName name="solver_rel50" localSheetId="0" hidden="1">1</definedName>
    <definedName name="solver_rel500" localSheetId="3" hidden="1">1</definedName>
    <definedName name="solver_rel501" localSheetId="3" hidden="1">1</definedName>
    <definedName name="solver_rel502" localSheetId="3" hidden="1">1</definedName>
    <definedName name="solver_rel503" localSheetId="3" hidden="1">1</definedName>
    <definedName name="solver_rel504" localSheetId="3" hidden="1">1</definedName>
    <definedName name="solver_rel505" localSheetId="3" hidden="1">1</definedName>
    <definedName name="solver_rel506" localSheetId="3" hidden="1">1</definedName>
    <definedName name="solver_rel507" localSheetId="3" hidden="1">1</definedName>
    <definedName name="solver_rel508" localSheetId="3" hidden="1">4</definedName>
    <definedName name="solver_rel509" localSheetId="3" hidden="1">1</definedName>
    <definedName name="solver_rel51" localSheetId="3" hidden="1">1</definedName>
    <definedName name="solver_rel51" localSheetId="0" hidden="1">1</definedName>
    <definedName name="solver_rel510" localSheetId="3" hidden="1">1</definedName>
    <definedName name="solver_rel511" localSheetId="3" hidden="1">1</definedName>
    <definedName name="solver_rel512" localSheetId="3" hidden="1">1</definedName>
    <definedName name="solver_rel513" localSheetId="3" hidden="1">1</definedName>
    <definedName name="solver_rel514" localSheetId="3" hidden="1">1</definedName>
    <definedName name="solver_rel515" localSheetId="3" hidden="1">1</definedName>
    <definedName name="solver_rel516" localSheetId="3" hidden="1">1</definedName>
    <definedName name="solver_rel517" localSheetId="3" hidden="1">1</definedName>
    <definedName name="solver_rel518" localSheetId="3" hidden="1">1</definedName>
    <definedName name="solver_rel519" localSheetId="3" hidden="1">1</definedName>
    <definedName name="solver_rel52" localSheetId="3" hidden="1">1</definedName>
    <definedName name="solver_rel52" localSheetId="0" hidden="1">1</definedName>
    <definedName name="solver_rel520" localSheetId="3" hidden="1">1</definedName>
    <definedName name="solver_rel521" localSheetId="3" hidden="1">1</definedName>
    <definedName name="solver_rel522" localSheetId="3" hidden="1">1</definedName>
    <definedName name="solver_rel523" localSheetId="3" hidden="1">1</definedName>
    <definedName name="solver_rel524" localSheetId="3" hidden="1">1</definedName>
    <definedName name="solver_rel525" localSheetId="3" hidden="1">1</definedName>
    <definedName name="solver_rel526" localSheetId="3" hidden="1">1</definedName>
    <definedName name="solver_rel527" localSheetId="3" hidden="1">1</definedName>
    <definedName name="solver_rel528" localSheetId="3" hidden="1">1</definedName>
    <definedName name="solver_rel529" localSheetId="3" hidden="1">1</definedName>
    <definedName name="solver_rel53" localSheetId="3" hidden="1">1</definedName>
    <definedName name="solver_rel53" localSheetId="0" hidden="1">4</definedName>
    <definedName name="solver_rel530" localSheetId="3" hidden="1">1</definedName>
    <definedName name="solver_rel531" localSheetId="3" hidden="1">1</definedName>
    <definedName name="solver_rel532" localSheetId="3" hidden="1">1</definedName>
    <definedName name="solver_rel533" localSheetId="3" hidden="1">1</definedName>
    <definedName name="solver_rel534" localSheetId="3" hidden="1">1</definedName>
    <definedName name="solver_rel535" localSheetId="3" hidden="1">1</definedName>
    <definedName name="solver_rel536" localSheetId="3" hidden="1">1</definedName>
    <definedName name="solver_rel537" localSheetId="3" hidden="1">1</definedName>
    <definedName name="solver_rel538" localSheetId="3" hidden="1">1</definedName>
    <definedName name="solver_rel539" localSheetId="3" hidden="1">1</definedName>
    <definedName name="solver_rel54" localSheetId="3" hidden="1">1</definedName>
    <definedName name="solver_rel54" localSheetId="0" hidden="1">4</definedName>
    <definedName name="solver_rel540" localSheetId="3" hidden="1">1</definedName>
    <definedName name="solver_rel541" localSheetId="3" hidden="1">1</definedName>
    <definedName name="solver_rel542" localSheetId="3" hidden="1">1</definedName>
    <definedName name="solver_rel543" localSheetId="3" hidden="1">1</definedName>
    <definedName name="solver_rel544" localSheetId="3" hidden="1">1</definedName>
    <definedName name="solver_rel545" localSheetId="3" hidden="1">1</definedName>
    <definedName name="solver_rel546" localSheetId="3" hidden="1">1</definedName>
    <definedName name="solver_rel547" localSheetId="3" hidden="1">1</definedName>
    <definedName name="solver_rel548" localSheetId="3" hidden="1">1</definedName>
    <definedName name="solver_rel549" localSheetId="3" hidden="1">1</definedName>
    <definedName name="solver_rel55" localSheetId="3" hidden="1">1</definedName>
    <definedName name="solver_rel55" localSheetId="0" hidden="1">4</definedName>
    <definedName name="solver_rel550" localSheetId="3" hidden="1">1</definedName>
    <definedName name="solver_rel551" localSheetId="3" hidden="1">1</definedName>
    <definedName name="solver_rel552" localSheetId="3" hidden="1">1</definedName>
    <definedName name="solver_rel553" localSheetId="3" hidden="1">1</definedName>
    <definedName name="solver_rel554" localSheetId="3" hidden="1">1</definedName>
    <definedName name="solver_rel555" localSheetId="3" hidden="1">1</definedName>
    <definedName name="solver_rel556" localSheetId="3" hidden="1">1</definedName>
    <definedName name="solver_rel557" localSheetId="3" hidden="1">1</definedName>
    <definedName name="solver_rel558" localSheetId="3" hidden="1">1</definedName>
    <definedName name="solver_rel559" localSheetId="3" hidden="1">1</definedName>
    <definedName name="solver_rel56" localSheetId="3" hidden="1">1</definedName>
    <definedName name="solver_rel56" localSheetId="0" hidden="1">2</definedName>
    <definedName name="solver_rel560" localSheetId="3" hidden="1">1</definedName>
    <definedName name="solver_rel561" localSheetId="3" hidden="1">1</definedName>
    <definedName name="solver_rel562" localSheetId="3" hidden="1">1</definedName>
    <definedName name="solver_rel563" localSheetId="3" hidden="1">1</definedName>
    <definedName name="solver_rel564" localSheetId="3" hidden="1">1</definedName>
    <definedName name="solver_rel565" localSheetId="3" hidden="1">1</definedName>
    <definedName name="solver_rel566" localSheetId="3" hidden="1">1</definedName>
    <definedName name="solver_rel567" localSheetId="3" hidden="1">1</definedName>
    <definedName name="solver_rel568" localSheetId="3" hidden="1">1</definedName>
    <definedName name="solver_rel569" localSheetId="3" hidden="1">1</definedName>
    <definedName name="solver_rel57" localSheetId="3" hidden="1">1</definedName>
    <definedName name="solver_rel57" localSheetId="0" hidden="1">1</definedName>
    <definedName name="solver_rel570" localSheetId="3" hidden="1">1</definedName>
    <definedName name="solver_rel571" localSheetId="3" hidden="1">1</definedName>
    <definedName name="solver_rel572" localSheetId="3" hidden="1">1</definedName>
    <definedName name="solver_rel573" localSheetId="3" hidden="1">1</definedName>
    <definedName name="solver_rel574" localSheetId="3" hidden="1">1</definedName>
    <definedName name="solver_rel575" localSheetId="3" hidden="1">1</definedName>
    <definedName name="solver_rel576" localSheetId="3" hidden="1">1</definedName>
    <definedName name="solver_rel577" localSheetId="3" hidden="1">4</definedName>
    <definedName name="solver_rel578" localSheetId="3" hidden="1">1</definedName>
    <definedName name="solver_rel579" localSheetId="3" hidden="1">4</definedName>
    <definedName name="solver_rel58" localSheetId="3" hidden="1">1</definedName>
    <definedName name="solver_rel58" localSheetId="0" hidden="1">1</definedName>
    <definedName name="solver_rel580" localSheetId="3" hidden="1">1</definedName>
    <definedName name="solver_rel581" localSheetId="3" hidden="1">4</definedName>
    <definedName name="solver_rel582" localSheetId="3" hidden="1">4</definedName>
    <definedName name="solver_rel583" localSheetId="3" hidden="1">1</definedName>
    <definedName name="solver_rel584" localSheetId="3" hidden="1">4</definedName>
    <definedName name="solver_rel585" localSheetId="3" hidden="1">4</definedName>
    <definedName name="solver_rel586" localSheetId="3" hidden="1">4</definedName>
    <definedName name="solver_rel587" localSheetId="3" hidden="1">4</definedName>
    <definedName name="solver_rel588" localSheetId="3" hidden="1">4</definedName>
    <definedName name="solver_rel589" localSheetId="3" hidden="1">4</definedName>
    <definedName name="solver_rel59" localSheetId="3" hidden="1">1</definedName>
    <definedName name="solver_rel59" localSheetId="0" hidden="1">1</definedName>
    <definedName name="solver_rel590" localSheetId="3" hidden="1">4</definedName>
    <definedName name="solver_rel591" localSheetId="3" hidden="1">4</definedName>
    <definedName name="solver_rel592" localSheetId="3" hidden="1">4</definedName>
    <definedName name="solver_rel593" localSheetId="3" hidden="1">4</definedName>
    <definedName name="solver_rel594" localSheetId="3" hidden="1">4</definedName>
    <definedName name="solver_rel595" localSheetId="3" hidden="1">4</definedName>
    <definedName name="solver_rel596" localSheetId="3" hidden="1">4</definedName>
    <definedName name="solver_rel597" localSheetId="3" hidden="1">4</definedName>
    <definedName name="solver_rel598" localSheetId="3" hidden="1">4</definedName>
    <definedName name="solver_rel599" localSheetId="3" hidden="1">4</definedName>
    <definedName name="solver_rel6" localSheetId="3" hidden="1">3</definedName>
    <definedName name="solver_rel6" localSheetId="0" hidden="1">1</definedName>
    <definedName name="solver_rel60" localSheetId="3" hidden="1">1</definedName>
    <definedName name="solver_rel60" localSheetId="0" hidden="1">4</definedName>
    <definedName name="solver_rel600" localSheetId="3" hidden="1">4</definedName>
    <definedName name="solver_rel601" localSheetId="3" hidden="1">4</definedName>
    <definedName name="solver_rel602" localSheetId="3" hidden="1">4</definedName>
    <definedName name="solver_rel603" localSheetId="3" hidden="1">4</definedName>
    <definedName name="solver_rel604" localSheetId="3" hidden="1">4</definedName>
    <definedName name="solver_rel605" localSheetId="3" hidden="1">4</definedName>
    <definedName name="solver_rel606" localSheetId="3" hidden="1">4</definedName>
    <definedName name="solver_rel607" localSheetId="3" hidden="1">4</definedName>
    <definedName name="solver_rel608" localSheetId="3" hidden="1">4</definedName>
    <definedName name="solver_rel609" localSheetId="3" hidden="1">1</definedName>
    <definedName name="solver_rel61" localSheetId="3" hidden="1">1</definedName>
    <definedName name="solver_rel61" localSheetId="0" hidden="1">4</definedName>
    <definedName name="solver_rel610" localSheetId="3" hidden="1">4</definedName>
    <definedName name="solver_rel611" localSheetId="3" hidden="1">4</definedName>
    <definedName name="solver_rel612" localSheetId="3" hidden="1">4</definedName>
    <definedName name="solver_rel613" localSheetId="3" hidden="1">4</definedName>
    <definedName name="solver_rel614" localSheetId="3" hidden="1">4</definedName>
    <definedName name="solver_rel615" localSheetId="3" hidden="1">4</definedName>
    <definedName name="solver_rel616" localSheetId="3" hidden="1">4</definedName>
    <definedName name="solver_rel617" localSheetId="3" hidden="1">4</definedName>
    <definedName name="solver_rel618" localSheetId="3" hidden="1">4</definedName>
    <definedName name="solver_rel619" localSheetId="3" hidden="1">4</definedName>
    <definedName name="solver_rel62" localSheetId="3" hidden="1">1</definedName>
    <definedName name="solver_rel62" localSheetId="0" hidden="1">4</definedName>
    <definedName name="solver_rel620" localSheetId="3" hidden="1">4</definedName>
    <definedName name="solver_rel621" localSheetId="3" hidden="1">4</definedName>
    <definedName name="solver_rel622" localSheetId="3" hidden="1">4</definedName>
    <definedName name="solver_rel623" localSheetId="3" hidden="1">4</definedName>
    <definedName name="solver_rel624" localSheetId="3" hidden="1">4</definedName>
    <definedName name="solver_rel625" localSheetId="3" hidden="1">4</definedName>
    <definedName name="solver_rel626" localSheetId="3" hidden="1">4</definedName>
    <definedName name="solver_rel627" localSheetId="3" hidden="1">4</definedName>
    <definedName name="solver_rel628" localSheetId="3" hidden="1">4</definedName>
    <definedName name="solver_rel629" localSheetId="3" hidden="1">4</definedName>
    <definedName name="solver_rel63" localSheetId="3" hidden="1">1</definedName>
    <definedName name="solver_rel63" localSheetId="0" hidden="1">2</definedName>
    <definedName name="solver_rel630" localSheetId="3" hidden="1">4</definedName>
    <definedName name="solver_rel631" localSheetId="3" hidden="1">4</definedName>
    <definedName name="solver_rel632" localSheetId="3" hidden="1">4</definedName>
    <definedName name="solver_rel633" localSheetId="3" hidden="1">4</definedName>
    <definedName name="solver_rel634" localSheetId="3" hidden="1">4</definedName>
    <definedName name="solver_rel635" localSheetId="3" hidden="1">4</definedName>
    <definedName name="solver_rel636" localSheetId="3" hidden="1">4</definedName>
    <definedName name="solver_rel637" localSheetId="3" hidden="1">4</definedName>
    <definedName name="solver_rel638" localSheetId="3" hidden="1">4</definedName>
    <definedName name="solver_rel639" localSheetId="3" hidden="1">4</definedName>
    <definedName name="solver_rel64" localSheetId="3" hidden="1">1</definedName>
    <definedName name="solver_rel64" localSheetId="0" hidden="1">1</definedName>
    <definedName name="solver_rel640" localSheetId="3" hidden="1">4</definedName>
    <definedName name="solver_rel641" localSheetId="3" hidden="1">4</definedName>
    <definedName name="solver_rel642" localSheetId="3" hidden="1">4</definedName>
    <definedName name="solver_rel643" localSheetId="3" hidden="1">4</definedName>
    <definedName name="solver_rel644" localSheetId="3" hidden="1">4</definedName>
    <definedName name="solver_rel645" localSheetId="3" hidden="1">4</definedName>
    <definedName name="solver_rel646" localSheetId="3" hidden="1">4</definedName>
    <definedName name="solver_rel647" localSheetId="3" hidden="1">4</definedName>
    <definedName name="solver_rel648" localSheetId="3" hidden="1">4</definedName>
    <definedName name="solver_rel649" localSheetId="3" hidden="1">4</definedName>
    <definedName name="solver_rel65" localSheetId="3" hidden="1">1</definedName>
    <definedName name="solver_rel65" localSheetId="0" hidden="1">1</definedName>
    <definedName name="solver_rel650" localSheetId="3" hidden="1">4</definedName>
    <definedName name="solver_rel651" localSheetId="3" hidden="1">4</definedName>
    <definedName name="solver_rel652" localSheetId="3" hidden="1">4</definedName>
    <definedName name="solver_rel653" localSheetId="3" hidden="1">4</definedName>
    <definedName name="solver_rel654" localSheetId="3" hidden="1">4</definedName>
    <definedName name="solver_rel655" localSheetId="3" hidden="1">4</definedName>
    <definedName name="solver_rel656" localSheetId="3" hidden="1">4</definedName>
    <definedName name="solver_rel657" localSheetId="3" hidden="1">4</definedName>
    <definedName name="solver_rel658" localSheetId="3" hidden="1">4</definedName>
    <definedName name="solver_rel659" localSheetId="3" hidden="1">4</definedName>
    <definedName name="solver_rel66" localSheetId="3" hidden="1">1</definedName>
    <definedName name="solver_rel66" localSheetId="0" hidden="1">1</definedName>
    <definedName name="solver_rel660" localSheetId="3" hidden="1">4</definedName>
    <definedName name="solver_rel661" localSheetId="3" hidden="1">4</definedName>
    <definedName name="solver_rel662" localSheetId="3" hidden="1">4</definedName>
    <definedName name="solver_rel663" localSheetId="3" hidden="1">4</definedName>
    <definedName name="solver_rel664" localSheetId="3" hidden="1">4</definedName>
    <definedName name="solver_rel665" localSheetId="3" hidden="1">4</definedName>
    <definedName name="solver_rel666" localSheetId="3" hidden="1">4</definedName>
    <definedName name="solver_rel667" localSheetId="3" hidden="1">4</definedName>
    <definedName name="solver_rel668" localSheetId="3" hidden="1">4</definedName>
    <definedName name="solver_rel669" localSheetId="3" hidden="1">4</definedName>
    <definedName name="solver_rel67" localSheetId="3" hidden="1">1</definedName>
    <definedName name="solver_rel67" localSheetId="0" hidden="1">4</definedName>
    <definedName name="solver_rel670" localSheetId="3" hidden="1">4</definedName>
    <definedName name="solver_rel671" localSheetId="3" hidden="1">4</definedName>
    <definedName name="solver_rel672" localSheetId="3" hidden="1">4</definedName>
    <definedName name="solver_rel673" localSheetId="3" hidden="1">4</definedName>
    <definedName name="solver_rel674" localSheetId="3" hidden="1">4</definedName>
    <definedName name="solver_rel675" localSheetId="3" hidden="1">4</definedName>
    <definedName name="solver_rel676" localSheetId="3" hidden="1">4</definedName>
    <definedName name="solver_rel677" localSheetId="3" hidden="1">4</definedName>
    <definedName name="solver_rel678" localSheetId="3" hidden="1">4</definedName>
    <definedName name="solver_rel679" localSheetId="3" hidden="1">4</definedName>
    <definedName name="solver_rel68" localSheetId="3" hidden="1">1</definedName>
    <definedName name="solver_rel68" localSheetId="0" hidden="1">4</definedName>
    <definedName name="solver_rel680" localSheetId="3" hidden="1">4</definedName>
    <definedName name="solver_rel681" localSheetId="3" hidden="1">4</definedName>
    <definedName name="solver_rel682" localSheetId="3" hidden="1">4</definedName>
    <definedName name="solver_rel683" localSheetId="3" hidden="1">4</definedName>
    <definedName name="solver_rel684" localSheetId="3" hidden="1">4</definedName>
    <definedName name="solver_rel685" localSheetId="3" hidden="1">2</definedName>
    <definedName name="solver_rel686" localSheetId="3" hidden="1">4</definedName>
    <definedName name="solver_rel687" localSheetId="3" hidden="1">2</definedName>
    <definedName name="solver_rel688" localSheetId="3" hidden="1">4</definedName>
    <definedName name="solver_rel689" localSheetId="3" hidden="1">2</definedName>
    <definedName name="solver_rel69" localSheetId="3" hidden="1">1</definedName>
    <definedName name="solver_rel69" localSheetId="0" hidden="1">4</definedName>
    <definedName name="solver_rel690" localSheetId="3" hidden="1">4</definedName>
    <definedName name="solver_rel691" localSheetId="3" hidden="1">2</definedName>
    <definedName name="solver_rel692" localSheetId="3" hidden="1">4</definedName>
    <definedName name="solver_rel693" localSheetId="3" hidden="1">2</definedName>
    <definedName name="solver_rel694" localSheetId="3" hidden="1">2</definedName>
    <definedName name="solver_rel695" localSheetId="3" hidden="1">4</definedName>
    <definedName name="solver_rel696" localSheetId="3" hidden="1">2</definedName>
    <definedName name="solver_rel697" localSheetId="3" hidden="1">4</definedName>
    <definedName name="solver_rel698" localSheetId="3" hidden="1">2</definedName>
    <definedName name="solver_rel699" localSheetId="3" hidden="1">2</definedName>
    <definedName name="solver_rel7" localSheetId="3" hidden="1">4</definedName>
    <definedName name="solver_rel7" localSheetId="0" hidden="1">1</definedName>
    <definedName name="solver_rel70" localSheetId="3" hidden="1">1</definedName>
    <definedName name="solver_rel70" localSheetId="0" hidden="1">2</definedName>
    <definedName name="solver_rel700" localSheetId="3" hidden="1">4</definedName>
    <definedName name="solver_rel701" localSheetId="3" hidden="1">2</definedName>
    <definedName name="solver_rel702" localSheetId="3" hidden="1">4</definedName>
    <definedName name="solver_rel703" localSheetId="3" hidden="1">2</definedName>
    <definedName name="solver_rel704" localSheetId="3" hidden="1">4</definedName>
    <definedName name="solver_rel705" localSheetId="3" hidden="1">2</definedName>
    <definedName name="solver_rel706" localSheetId="3" hidden="1">2</definedName>
    <definedName name="solver_rel707" localSheetId="3" hidden="1">4</definedName>
    <definedName name="solver_rel708" localSheetId="3" hidden="1">2</definedName>
    <definedName name="solver_rel709" localSheetId="3" hidden="1">4</definedName>
    <definedName name="solver_rel71" localSheetId="3" hidden="1">1</definedName>
    <definedName name="solver_rel71" localSheetId="0" hidden="1">1</definedName>
    <definedName name="solver_rel710" localSheetId="3" hidden="1">2</definedName>
    <definedName name="solver_rel711" localSheetId="3" hidden="1">4</definedName>
    <definedName name="solver_rel712" localSheetId="3" hidden="1">2</definedName>
    <definedName name="solver_rel713" localSheetId="3" hidden="1">2</definedName>
    <definedName name="solver_rel714" localSheetId="3" hidden="1">2</definedName>
    <definedName name="solver_rel715" localSheetId="3" hidden="1">2</definedName>
    <definedName name="solver_rel716" localSheetId="3" hidden="1">2</definedName>
    <definedName name="solver_rel717" localSheetId="3" hidden="1">2</definedName>
    <definedName name="solver_rel718" localSheetId="3" hidden="1">2</definedName>
    <definedName name="solver_rel719" localSheetId="3" hidden="1">2</definedName>
    <definedName name="solver_rel72" localSheetId="3" hidden="1">1</definedName>
    <definedName name="solver_rel72" localSheetId="0" hidden="1">1</definedName>
    <definedName name="solver_rel720" localSheetId="3" hidden="1">2</definedName>
    <definedName name="solver_rel721" localSheetId="3" hidden="1">2</definedName>
    <definedName name="solver_rel722" localSheetId="3" hidden="1">2</definedName>
    <definedName name="solver_rel723" localSheetId="3" hidden="1">2</definedName>
    <definedName name="solver_rel724" localSheetId="3" hidden="1">2</definedName>
    <definedName name="solver_rel725" localSheetId="3" hidden="1">2</definedName>
    <definedName name="solver_rel726" localSheetId="3" hidden="1">2</definedName>
    <definedName name="solver_rel727" localSheetId="3" hidden="1">2</definedName>
    <definedName name="solver_rel728" localSheetId="3" hidden="1">2</definedName>
    <definedName name="solver_rel729" localSheetId="3" hidden="1">2</definedName>
    <definedName name="solver_rel73" localSheetId="3" hidden="1">1</definedName>
    <definedName name="solver_rel73" localSheetId="0" hidden="1">1</definedName>
    <definedName name="solver_rel730" localSheetId="3" hidden="1">2</definedName>
    <definedName name="solver_rel731" localSheetId="3" hidden="1">2</definedName>
    <definedName name="solver_rel732" localSheetId="3" hidden="1">2</definedName>
    <definedName name="solver_rel733" localSheetId="3" hidden="1">2</definedName>
    <definedName name="solver_rel734" localSheetId="3" hidden="1">2</definedName>
    <definedName name="solver_rel735" localSheetId="3" hidden="1">2</definedName>
    <definedName name="solver_rel736" localSheetId="3" hidden="1">2</definedName>
    <definedName name="solver_rel737" localSheetId="3" hidden="1">2</definedName>
    <definedName name="solver_rel738" localSheetId="3" hidden="1">2</definedName>
    <definedName name="solver_rel739" localSheetId="3" hidden="1">2</definedName>
    <definedName name="solver_rel74" localSheetId="3" hidden="1">1</definedName>
    <definedName name="solver_rel74" localSheetId="0" hidden="1">4</definedName>
    <definedName name="solver_rel740" localSheetId="3" hidden="1">2</definedName>
    <definedName name="solver_rel741" localSheetId="3" hidden="1">2</definedName>
    <definedName name="solver_rel742" localSheetId="3" hidden="1">2</definedName>
    <definedName name="solver_rel743" localSheetId="3" hidden="1">2</definedName>
    <definedName name="solver_rel744" localSheetId="3" hidden="1">2</definedName>
    <definedName name="solver_rel745" localSheetId="3" hidden="1">2</definedName>
    <definedName name="solver_rel746" localSheetId="3" hidden="1">2</definedName>
    <definedName name="solver_rel747" localSheetId="3" hidden="1">2</definedName>
    <definedName name="solver_rel748" localSheetId="3" hidden="1">2</definedName>
    <definedName name="solver_rel749" localSheetId="3" hidden="1">2</definedName>
    <definedName name="solver_rel75" localSheetId="3" hidden="1">1</definedName>
    <definedName name="solver_rel75" localSheetId="0" hidden="1">4</definedName>
    <definedName name="solver_rel750" localSheetId="3" hidden="1">2</definedName>
    <definedName name="solver_rel751" localSheetId="3" hidden="1">2</definedName>
    <definedName name="solver_rel752" localSheetId="3" hidden="1">2</definedName>
    <definedName name="solver_rel753" localSheetId="3" hidden="1">2</definedName>
    <definedName name="solver_rel754" localSheetId="3" hidden="1">2</definedName>
    <definedName name="solver_rel755" localSheetId="3" hidden="1">2</definedName>
    <definedName name="solver_rel756" localSheetId="3" hidden="1">2</definedName>
    <definedName name="solver_rel757" localSheetId="3" hidden="1">2</definedName>
    <definedName name="solver_rel758" localSheetId="3" hidden="1">2</definedName>
    <definedName name="solver_rel759" localSheetId="3" hidden="1">2</definedName>
    <definedName name="solver_rel76" localSheetId="3" hidden="1">1</definedName>
    <definedName name="solver_rel76" localSheetId="0" hidden="1">4</definedName>
    <definedName name="solver_rel760" localSheetId="3" hidden="1">2</definedName>
    <definedName name="solver_rel761" localSheetId="3" hidden="1">2</definedName>
    <definedName name="solver_rel762" localSheetId="3" hidden="1">2</definedName>
    <definedName name="solver_rel763" localSheetId="3" hidden="1">2</definedName>
    <definedName name="solver_rel764" localSheetId="3" hidden="1">2</definedName>
    <definedName name="solver_rel765" localSheetId="3" hidden="1">2</definedName>
    <definedName name="solver_rel766" localSheetId="3" hidden="1">2</definedName>
    <definedName name="solver_rel767" localSheetId="3" hidden="1">2</definedName>
    <definedName name="solver_rel768" localSheetId="3" hidden="1">2</definedName>
    <definedName name="solver_rel769" localSheetId="3" hidden="1">2</definedName>
    <definedName name="solver_rel77" localSheetId="3" hidden="1">1</definedName>
    <definedName name="solver_rel77" localSheetId="0" hidden="1">2</definedName>
    <definedName name="solver_rel770" localSheetId="3" hidden="1">2</definedName>
    <definedName name="solver_rel771" localSheetId="3" hidden="1">2</definedName>
    <definedName name="solver_rel772" localSheetId="3" hidden="1">2</definedName>
    <definedName name="solver_rel773" localSheetId="3" hidden="1">2</definedName>
    <definedName name="solver_rel774" localSheetId="3" hidden="1">2</definedName>
    <definedName name="solver_rel775" localSheetId="3" hidden="1">2</definedName>
    <definedName name="solver_rel776" localSheetId="3" hidden="1">2</definedName>
    <definedName name="solver_rel777" localSheetId="3" hidden="1">2</definedName>
    <definedName name="solver_rel778" localSheetId="3" hidden="1">2</definedName>
    <definedName name="solver_rel779" localSheetId="3" hidden="1">2</definedName>
    <definedName name="solver_rel78" localSheetId="3" hidden="1">1</definedName>
    <definedName name="solver_rel78" localSheetId="0" hidden="1">1</definedName>
    <definedName name="solver_rel780" localSheetId="3" hidden="1">2</definedName>
    <definedName name="solver_rel781" localSheetId="3" hidden="1">2</definedName>
    <definedName name="solver_rel782" localSheetId="3" hidden="1">2</definedName>
    <definedName name="solver_rel783" localSheetId="3" hidden="1">2</definedName>
    <definedName name="solver_rel784" localSheetId="3" hidden="1">2</definedName>
    <definedName name="solver_rel785" localSheetId="3" hidden="1">2</definedName>
    <definedName name="solver_rel786" localSheetId="3" hidden="1">2</definedName>
    <definedName name="solver_rel787" localSheetId="3" hidden="1">2</definedName>
    <definedName name="solver_rel788" localSheetId="3" hidden="1">2</definedName>
    <definedName name="solver_rel789" localSheetId="3" hidden="1">2</definedName>
    <definedName name="solver_rel79" localSheetId="3" hidden="1">1</definedName>
    <definedName name="solver_rel79" localSheetId="0" hidden="1">1</definedName>
    <definedName name="solver_rel790" localSheetId="3" hidden="1">2</definedName>
    <definedName name="solver_rel791" localSheetId="3" hidden="1">2</definedName>
    <definedName name="solver_rel792" localSheetId="3" hidden="1">2</definedName>
    <definedName name="solver_rel793" localSheetId="3" hidden="1">2</definedName>
    <definedName name="solver_rel794" localSheetId="3" hidden="1">2</definedName>
    <definedName name="solver_rel795" localSheetId="3" hidden="1">2</definedName>
    <definedName name="solver_rel796" localSheetId="3" hidden="1">2</definedName>
    <definedName name="solver_rel797" localSheetId="3" hidden="1">2</definedName>
    <definedName name="solver_rel798" localSheetId="3" hidden="1">2</definedName>
    <definedName name="solver_rel799" localSheetId="3" hidden="1">2</definedName>
    <definedName name="solver_rel8" localSheetId="3" hidden="1">4</definedName>
    <definedName name="solver_rel8" localSheetId="0" hidden="1">2</definedName>
    <definedName name="solver_rel80" localSheetId="3" hidden="1">1</definedName>
    <definedName name="solver_rel80" localSheetId="0" hidden="1">1</definedName>
    <definedName name="solver_rel800" localSheetId="3" hidden="1">2</definedName>
    <definedName name="solver_rel801" localSheetId="3" hidden="1">2</definedName>
    <definedName name="solver_rel802" localSheetId="3" hidden="1">2</definedName>
    <definedName name="solver_rel803" localSheetId="3" hidden="1">2</definedName>
    <definedName name="solver_rel804" localSheetId="3" hidden="1">2</definedName>
    <definedName name="solver_rel805" localSheetId="3" hidden="1">2</definedName>
    <definedName name="solver_rel806" localSheetId="3" hidden="1">2</definedName>
    <definedName name="solver_rel807" localSheetId="3" hidden="1">2</definedName>
    <definedName name="solver_rel808" localSheetId="3" hidden="1">2</definedName>
    <definedName name="solver_rel809" localSheetId="3" hidden="1">2</definedName>
    <definedName name="solver_rel81" localSheetId="3" hidden="1">1</definedName>
    <definedName name="solver_rel81" localSheetId="0" hidden="1">4</definedName>
    <definedName name="solver_rel810" localSheetId="3" hidden="1">2</definedName>
    <definedName name="solver_rel811" localSheetId="3" hidden="1">2</definedName>
    <definedName name="solver_rel812" localSheetId="3" hidden="1">2</definedName>
    <definedName name="solver_rel82" localSheetId="3" hidden="1">1</definedName>
    <definedName name="solver_rel82" localSheetId="0" hidden="1">4</definedName>
    <definedName name="solver_rel83" localSheetId="3" hidden="1">1</definedName>
    <definedName name="solver_rel83" localSheetId="0" hidden="1">4</definedName>
    <definedName name="solver_rel84" localSheetId="3" hidden="1">1</definedName>
    <definedName name="solver_rel84" localSheetId="0" hidden="1">2</definedName>
    <definedName name="solver_rel85" localSheetId="3" hidden="1">1</definedName>
    <definedName name="solver_rel85" localSheetId="0" hidden="1">1</definedName>
    <definedName name="solver_rel86" localSheetId="3" hidden="1">1</definedName>
    <definedName name="solver_rel86" localSheetId="0" hidden="1">1</definedName>
    <definedName name="solver_rel87" localSheetId="3" hidden="1">1</definedName>
    <definedName name="solver_rel87" localSheetId="0" hidden="1">1</definedName>
    <definedName name="solver_rel88" localSheetId="3" hidden="1">1</definedName>
    <definedName name="solver_rel88" localSheetId="0" hidden="1">4</definedName>
    <definedName name="solver_rel89" localSheetId="3" hidden="1">1</definedName>
    <definedName name="solver_rel89" localSheetId="0" hidden="1">4</definedName>
    <definedName name="solver_rel9" localSheetId="3" hidden="1">4</definedName>
    <definedName name="solver_rel9" localSheetId="0" hidden="1">1</definedName>
    <definedName name="solver_rel90" localSheetId="3" hidden="1">1</definedName>
    <definedName name="solver_rel90" localSheetId="0" hidden="1">4</definedName>
    <definedName name="solver_rel91" localSheetId="3" hidden="1">1</definedName>
    <definedName name="solver_rel91" localSheetId="0" hidden="1">2</definedName>
    <definedName name="solver_rel92" localSheetId="3" hidden="1">1</definedName>
    <definedName name="solver_rel92" localSheetId="0" hidden="1">1</definedName>
    <definedName name="solver_rel93" localSheetId="3" hidden="1">1</definedName>
    <definedName name="solver_rel93" localSheetId="0" hidden="1">1</definedName>
    <definedName name="solver_rel94" localSheetId="3" hidden="1">1</definedName>
    <definedName name="solver_rel94" localSheetId="0" hidden="1">1</definedName>
    <definedName name="solver_rel95" localSheetId="3" hidden="1">1</definedName>
    <definedName name="solver_rel95" localSheetId="0" hidden="1">4</definedName>
    <definedName name="solver_rel96" localSheetId="3" hidden="1">1</definedName>
    <definedName name="solver_rel96" localSheetId="0" hidden="1">4</definedName>
    <definedName name="solver_rel97" localSheetId="3" hidden="1">1</definedName>
    <definedName name="solver_rel97" localSheetId="0" hidden="1">4</definedName>
    <definedName name="solver_rel98" localSheetId="3" hidden="1">1</definedName>
    <definedName name="solver_rel98" localSheetId="0" hidden="1">2</definedName>
    <definedName name="solver_rel99" localSheetId="3" hidden="1">1</definedName>
    <definedName name="solver_rel99" localSheetId="0" hidden="1">1</definedName>
    <definedName name="solver_rhs1" localSheetId="2" hidden="1">20</definedName>
    <definedName name="solver_rhs1" localSheetId="3" hidden="1">40</definedName>
    <definedName name="solver_rhs1" localSheetId="0" hidden="1">40</definedName>
    <definedName name="solver_rhs10" localSheetId="3" hidden="1">'Reverse 2'!$C$1</definedName>
    <definedName name="solver_rhs10" localSheetId="0" hidden="1">40</definedName>
    <definedName name="solver_rhs100" localSheetId="3" hidden="1">40</definedName>
    <definedName name="solver_rhs100" localSheetId="0" hidden="1">40</definedName>
    <definedName name="solver_rhs101" localSheetId="3" hidden="1">integer</definedName>
    <definedName name="solver_rhs101" localSheetId="0" hidden="1">800</definedName>
    <definedName name="solver_rhs102" localSheetId="3" hidden="1">40</definedName>
    <definedName name="solver_rhs102" localSheetId="0" hidden="1">integer</definedName>
    <definedName name="solver_rhs103" localSheetId="3" hidden="1">integer</definedName>
    <definedName name="solver_rhs103" localSheetId="0" hidden="1">integer</definedName>
    <definedName name="solver_rhs104" localSheetId="3" hidden="1">integer</definedName>
    <definedName name="solver_rhs104" localSheetId="0" hidden="1">integer</definedName>
    <definedName name="solver_rhs105" localSheetId="3" hidden="1">40</definedName>
    <definedName name="solver_rhs105" localSheetId="0" hidden="1">UserForm!$C$1</definedName>
    <definedName name="solver_rhs106" localSheetId="3" hidden="1">integer</definedName>
    <definedName name="solver_rhs106" localSheetId="0" hidden="1">40</definedName>
    <definedName name="solver_rhs107" localSheetId="3" hidden="1">40</definedName>
    <definedName name="solver_rhs107" localSheetId="0" hidden="1">40</definedName>
    <definedName name="solver_rhs108" localSheetId="3" hidden="1">integer</definedName>
    <definedName name="solver_rhs108" localSheetId="0" hidden="1">800</definedName>
    <definedName name="solver_rhs109" localSheetId="3" hidden="1">integer</definedName>
    <definedName name="solver_rhs109" localSheetId="0" hidden="1">integer</definedName>
    <definedName name="solver_rhs11" localSheetId="3" hidden="1">integer</definedName>
    <definedName name="solver_rhs11" localSheetId="0" hidden="1">800</definedName>
    <definedName name="solver_rhs110" localSheetId="3" hidden="1">40</definedName>
    <definedName name="solver_rhs110" localSheetId="0" hidden="1">integer</definedName>
    <definedName name="solver_rhs111" localSheetId="3" hidden="1">integer</definedName>
    <definedName name="solver_rhs111" localSheetId="0" hidden="1">integer</definedName>
    <definedName name="solver_rhs112" localSheetId="3" hidden="1">integer</definedName>
    <definedName name="solver_rhs112" localSheetId="0" hidden="1">UserForm!$C$1</definedName>
    <definedName name="solver_rhs113" localSheetId="3" hidden="1">40</definedName>
    <definedName name="solver_rhs113" localSheetId="0" hidden="1">40</definedName>
    <definedName name="solver_rhs114" localSheetId="3" hidden="1">integer</definedName>
    <definedName name="solver_rhs114" localSheetId="0" hidden="1">40</definedName>
    <definedName name="solver_rhs115" localSheetId="3" hidden="1">integer</definedName>
    <definedName name="solver_rhs115" localSheetId="0" hidden="1">800</definedName>
    <definedName name="solver_rhs116" localSheetId="3" hidden="1">integer</definedName>
    <definedName name="solver_rhs116" localSheetId="0" hidden="1">integer</definedName>
    <definedName name="solver_rhs117" localSheetId="3" hidden="1">integer</definedName>
    <definedName name="solver_rhs117" localSheetId="0" hidden="1">integer</definedName>
    <definedName name="solver_rhs118" localSheetId="3" hidden="1">integer</definedName>
    <definedName name="solver_rhs118" localSheetId="0" hidden="1">integer</definedName>
    <definedName name="solver_rhs119" localSheetId="3" hidden="1">integer</definedName>
    <definedName name="solver_rhs119" localSheetId="0" hidden="1">UserForm!$C$1</definedName>
    <definedName name="solver_rhs12" localSheetId="3" hidden="1">integer</definedName>
    <definedName name="solver_rhs12" localSheetId="0" hidden="1">UserForm!$C$1</definedName>
    <definedName name="solver_rhs120" localSheetId="3" hidden="1">integer</definedName>
    <definedName name="solver_rhs120" localSheetId="0" hidden="1">40</definedName>
    <definedName name="solver_rhs121" localSheetId="3" hidden="1">integer</definedName>
    <definedName name="solver_rhs121" localSheetId="0" hidden="1">40</definedName>
    <definedName name="solver_rhs122" localSheetId="3" hidden="1">40</definedName>
    <definedName name="solver_rhs122" localSheetId="0" hidden="1">800</definedName>
    <definedName name="solver_rhs123" localSheetId="3" hidden="1">integer</definedName>
    <definedName name="solver_rhs123" localSheetId="0" hidden="1">integer</definedName>
    <definedName name="solver_rhs124" localSheetId="3" hidden="1">integer</definedName>
    <definedName name="solver_rhs124" localSheetId="0" hidden="1">integer</definedName>
    <definedName name="solver_rhs125" localSheetId="3" hidden="1">integer</definedName>
    <definedName name="solver_rhs125" localSheetId="0" hidden="1">integer</definedName>
    <definedName name="solver_rhs126" localSheetId="3" hidden="1">integer</definedName>
    <definedName name="solver_rhs126" localSheetId="0" hidden="1">UserForm!$C$1</definedName>
    <definedName name="solver_rhs127" localSheetId="3" hidden="1">integer</definedName>
    <definedName name="solver_rhs127" localSheetId="0" hidden="1">40</definedName>
    <definedName name="solver_rhs128" localSheetId="3" hidden="1">integer</definedName>
    <definedName name="solver_rhs128" localSheetId="0" hidden="1">40</definedName>
    <definedName name="solver_rhs129" localSheetId="3" hidden="1">integer</definedName>
    <definedName name="solver_rhs129" localSheetId="0" hidden="1">800</definedName>
    <definedName name="solver_rhs13" localSheetId="3" hidden="1">'Reverse 2'!$C$1</definedName>
    <definedName name="solver_rhs13" localSheetId="0" hidden="1">40</definedName>
    <definedName name="solver_rhs130" localSheetId="3" hidden="1">integer</definedName>
    <definedName name="solver_rhs130" localSheetId="0" hidden="1">integer</definedName>
    <definedName name="solver_rhs131" localSheetId="3" hidden="1">integer</definedName>
    <definedName name="solver_rhs131" localSheetId="0" hidden="1">integer</definedName>
    <definedName name="solver_rhs132" localSheetId="3" hidden="1">integer</definedName>
    <definedName name="solver_rhs132" localSheetId="0" hidden="1">integer</definedName>
    <definedName name="solver_rhs133" localSheetId="3" hidden="1">40</definedName>
    <definedName name="solver_rhs133" localSheetId="0" hidden="1">UserForm!$C$1</definedName>
    <definedName name="solver_rhs134" localSheetId="3" hidden="1">integer</definedName>
    <definedName name="solver_rhs135" localSheetId="3" hidden="1">integer</definedName>
    <definedName name="solver_rhs136" localSheetId="3" hidden="1">integer</definedName>
    <definedName name="solver_rhs137" localSheetId="3" hidden="1">integer</definedName>
    <definedName name="solver_rhs138" localSheetId="3" hidden="1">40</definedName>
    <definedName name="solver_rhs139" localSheetId="3" hidden="1">integer</definedName>
    <definedName name="solver_rhs14" localSheetId="3" hidden="1">'Reverse 2'!$C$1</definedName>
    <definedName name="solver_rhs14" localSheetId="0" hidden="1">40</definedName>
    <definedName name="solver_rhs140" localSheetId="3" hidden="1">integer</definedName>
    <definedName name="solver_rhs141" localSheetId="3" hidden="1">integer</definedName>
    <definedName name="solver_rhs142" localSheetId="3" hidden="1">integer</definedName>
    <definedName name="solver_rhs143" localSheetId="3" hidden="1">40</definedName>
    <definedName name="solver_rhs144" localSheetId="3" hidden="1">integer</definedName>
    <definedName name="solver_rhs145" localSheetId="3" hidden="1">integer</definedName>
    <definedName name="solver_rhs146" localSheetId="3" hidden="1">integer</definedName>
    <definedName name="solver_rhs147" localSheetId="3" hidden="1">40</definedName>
    <definedName name="solver_rhs148" localSheetId="3" hidden="1">integer</definedName>
    <definedName name="solver_rhs149" localSheetId="3" hidden="1">integer</definedName>
    <definedName name="solver_rhs15" localSheetId="3" hidden="1">'Reverse 2'!$C$1</definedName>
    <definedName name="solver_rhs15" localSheetId="0" hidden="1">800</definedName>
    <definedName name="solver_rhs150" localSheetId="3" hidden="1">integer</definedName>
    <definedName name="solver_rhs151" localSheetId="3" hidden="1">integer</definedName>
    <definedName name="solver_rhs152" localSheetId="3" hidden="1">40</definedName>
    <definedName name="solver_rhs153" localSheetId="3" hidden="1">integer</definedName>
    <definedName name="solver_rhs154" localSheetId="3" hidden="1">integer</definedName>
    <definedName name="solver_rhs155" localSheetId="3" hidden="1">integer</definedName>
    <definedName name="solver_rhs156" localSheetId="3" hidden="1">integer</definedName>
    <definedName name="solver_rhs157" localSheetId="3" hidden="1">integer</definedName>
    <definedName name="solver_rhs158" localSheetId="3" hidden="1">integer</definedName>
    <definedName name="solver_rhs159" localSheetId="3" hidden="1">integer</definedName>
    <definedName name="solver_rhs16" localSheetId="3" hidden="1">40</definedName>
    <definedName name="solver_rhs16" localSheetId="0" hidden="1">UserForm!$C$1</definedName>
    <definedName name="solver_rhs160" localSheetId="3" hidden="1">integer</definedName>
    <definedName name="solver_rhs161" localSheetId="3" hidden="1">integer</definedName>
    <definedName name="solver_rhs162" localSheetId="3" hidden="1">integer</definedName>
    <definedName name="solver_rhs163" localSheetId="3" hidden="1">integer</definedName>
    <definedName name="solver_rhs164" localSheetId="3" hidden="1">integer</definedName>
    <definedName name="solver_rhs165" localSheetId="3" hidden="1">integer</definedName>
    <definedName name="solver_rhs166" localSheetId="3" hidden="1">integer</definedName>
    <definedName name="solver_rhs167" localSheetId="3" hidden="1">integer</definedName>
    <definedName name="solver_rhs168" localSheetId="3" hidden="1">integer</definedName>
    <definedName name="solver_rhs169" localSheetId="3" hidden="1">integer</definedName>
    <definedName name="solver_rhs17" localSheetId="3" hidden="1">40</definedName>
    <definedName name="solver_rhs17" localSheetId="0" hidden="1">40</definedName>
    <definedName name="solver_rhs170" localSheetId="3" hidden="1">integer</definedName>
    <definedName name="solver_rhs171" localSheetId="3" hidden="1">integer</definedName>
    <definedName name="solver_rhs172" localSheetId="3" hidden="1">integer</definedName>
    <definedName name="solver_rhs173" localSheetId="3" hidden="1">integer</definedName>
    <definedName name="solver_rhs174" localSheetId="3" hidden="1">integer</definedName>
    <definedName name="solver_rhs175" localSheetId="3" hidden="1">integer</definedName>
    <definedName name="solver_rhs176" localSheetId="3" hidden="1">integer</definedName>
    <definedName name="solver_rhs177" localSheetId="3" hidden="1">integer</definedName>
    <definedName name="solver_rhs178" localSheetId="3" hidden="1">integer</definedName>
    <definedName name="solver_rhs179" localSheetId="3" hidden="1">integer</definedName>
    <definedName name="solver_rhs18" localSheetId="3" hidden="1">40</definedName>
    <definedName name="solver_rhs18" localSheetId="0" hidden="1">40</definedName>
    <definedName name="solver_rhs180" localSheetId="3" hidden="1">integer</definedName>
    <definedName name="solver_rhs181" localSheetId="3" hidden="1">integer</definedName>
    <definedName name="solver_rhs182" localSheetId="3" hidden="1">40</definedName>
    <definedName name="solver_rhs183" localSheetId="3" hidden="1">integer</definedName>
    <definedName name="solver_rhs184" localSheetId="3" hidden="1">integer</definedName>
    <definedName name="solver_rhs185" localSheetId="3" hidden="1">integer</definedName>
    <definedName name="solver_rhs186" localSheetId="3" hidden="1">integer</definedName>
    <definedName name="solver_rhs187" localSheetId="3" hidden="1">integer</definedName>
    <definedName name="solver_rhs188" localSheetId="3" hidden="1">40</definedName>
    <definedName name="solver_rhs189" localSheetId="3" hidden="1">integer</definedName>
    <definedName name="solver_rhs19" localSheetId="3" hidden="1">40</definedName>
    <definedName name="solver_rhs19" localSheetId="0" hidden="1">800</definedName>
    <definedName name="solver_rhs190" localSheetId="3" hidden="1">integer</definedName>
    <definedName name="solver_rhs191" localSheetId="3" hidden="1">integer</definedName>
    <definedName name="solver_rhs192" localSheetId="3" hidden="1">integer</definedName>
    <definedName name="solver_rhs193" localSheetId="3" hidden="1">integer</definedName>
    <definedName name="solver_rhs194" localSheetId="3" hidden="1">integer</definedName>
    <definedName name="solver_rhs195" localSheetId="3" hidden="1">integer</definedName>
    <definedName name="solver_rhs196" localSheetId="3" hidden="1">integer</definedName>
    <definedName name="solver_rhs197" localSheetId="3" hidden="1">integer</definedName>
    <definedName name="solver_rhs198" localSheetId="3" hidden="1">integer</definedName>
    <definedName name="solver_rhs199" localSheetId="3" hidden="1">40</definedName>
    <definedName name="solver_rhs2" localSheetId="2" hidden="1">38</definedName>
    <definedName name="solver_rhs2" localSheetId="3" hidden="1">10</definedName>
    <definedName name="solver_rhs2" localSheetId="0" hidden="1">40</definedName>
    <definedName name="solver_rhs20" localSheetId="3" hidden="1">40</definedName>
    <definedName name="solver_rhs20" localSheetId="0" hidden="1">UserForm!$C$1</definedName>
    <definedName name="solver_rhs200" localSheetId="3" hidden="1">integer</definedName>
    <definedName name="solver_rhs201" localSheetId="3" hidden="1">integer</definedName>
    <definedName name="solver_rhs202" localSheetId="3" hidden="1">integer</definedName>
    <definedName name="solver_rhs203" localSheetId="3" hidden="1">40</definedName>
    <definedName name="solver_rhs204" localSheetId="3" hidden="1">integer</definedName>
    <definedName name="solver_rhs205" localSheetId="3" hidden="1">integer</definedName>
    <definedName name="solver_rhs206" localSheetId="3" hidden="1">integer</definedName>
    <definedName name="solver_rhs207" localSheetId="3" hidden="1">integer</definedName>
    <definedName name="solver_rhs208" localSheetId="3" hidden="1">integer</definedName>
    <definedName name="solver_rhs209" localSheetId="3" hidden="1">integer</definedName>
    <definedName name="solver_rhs21" localSheetId="3" hidden="1">40</definedName>
    <definedName name="solver_rhs21" localSheetId="0" hidden="1">40</definedName>
    <definedName name="solver_rhs210" localSheetId="3" hidden="1">integer</definedName>
    <definedName name="solver_rhs211" localSheetId="3" hidden="1">integer</definedName>
    <definedName name="solver_rhs212" localSheetId="3" hidden="1">integer</definedName>
    <definedName name="solver_rhs213" localSheetId="3" hidden="1">integer</definedName>
    <definedName name="solver_rhs214" localSheetId="3" hidden="1">integer</definedName>
    <definedName name="solver_rhs215" localSheetId="3" hidden="1">integer</definedName>
    <definedName name="solver_rhs216" localSheetId="3" hidden="1">integer</definedName>
    <definedName name="solver_rhs217" localSheetId="3" hidden="1">integer</definedName>
    <definedName name="solver_rhs218" localSheetId="3" hidden="1">integer</definedName>
    <definedName name="solver_rhs219" localSheetId="3" hidden="1">integer</definedName>
    <definedName name="solver_rhs22" localSheetId="3" hidden="1">40</definedName>
    <definedName name="solver_rhs22" localSheetId="0" hidden="1">40</definedName>
    <definedName name="solver_rhs220" localSheetId="3" hidden="1">40</definedName>
    <definedName name="solver_rhs221" localSheetId="3" hidden="1">40</definedName>
    <definedName name="solver_rhs222" localSheetId="3" hidden="1">integer</definedName>
    <definedName name="solver_rhs223" localSheetId="3" hidden="1">40</definedName>
    <definedName name="solver_rhs224" localSheetId="3" hidden="1">40</definedName>
    <definedName name="solver_rhs225" localSheetId="3" hidden="1">integer</definedName>
    <definedName name="solver_rhs226" localSheetId="3" hidden="1">40</definedName>
    <definedName name="solver_rhs227" localSheetId="3" hidden="1">40</definedName>
    <definedName name="solver_rhs228" localSheetId="3" hidden="1">40</definedName>
    <definedName name="solver_rhs229" localSheetId="3" hidden="1">integer</definedName>
    <definedName name="solver_rhs23" localSheetId="3" hidden="1">40</definedName>
    <definedName name="solver_rhs23" localSheetId="0" hidden="1">800</definedName>
    <definedName name="solver_rhs230" localSheetId="3" hidden="1">40</definedName>
    <definedName name="solver_rhs231" localSheetId="3" hidden="1">integer</definedName>
    <definedName name="solver_rhs232" localSheetId="3" hidden="1">40</definedName>
    <definedName name="solver_rhs233" localSheetId="3" hidden="1">40</definedName>
    <definedName name="solver_rhs234" localSheetId="3" hidden="1">40</definedName>
    <definedName name="solver_rhs235" localSheetId="3" hidden="1">40</definedName>
    <definedName name="solver_rhs236" localSheetId="3" hidden="1">40</definedName>
    <definedName name="solver_rhs237" localSheetId="3" hidden="1">40</definedName>
    <definedName name="solver_rhs238" localSheetId="3" hidden="1">40</definedName>
    <definedName name="solver_rhs239" localSheetId="3" hidden="1">integer</definedName>
    <definedName name="solver_rhs24" localSheetId="3" hidden="1">40</definedName>
    <definedName name="solver_rhs24" localSheetId="0" hidden="1">UserForm!$C$1</definedName>
    <definedName name="solver_rhs240" localSheetId="3" hidden="1">40</definedName>
    <definedName name="solver_rhs241" localSheetId="3" hidden="1">40</definedName>
    <definedName name="solver_rhs242" localSheetId="3" hidden="1">40</definedName>
    <definedName name="solver_rhs243" localSheetId="3" hidden="1">40</definedName>
    <definedName name="solver_rhs244" localSheetId="3" hidden="1">40</definedName>
    <definedName name="solver_rhs245" localSheetId="3" hidden="1">40</definedName>
    <definedName name="solver_rhs246" localSheetId="3" hidden="1">40</definedName>
    <definedName name="solver_rhs247" localSheetId="3" hidden="1">40</definedName>
    <definedName name="solver_rhs248" localSheetId="3" hidden="1">integer</definedName>
    <definedName name="solver_rhs249" localSheetId="3" hidden="1">integer</definedName>
    <definedName name="solver_rhs25" localSheetId="3" hidden="1">40</definedName>
    <definedName name="solver_rhs25" localSheetId="0" hidden="1">40</definedName>
    <definedName name="solver_rhs250" localSheetId="3" hidden="1">integer</definedName>
    <definedName name="solver_rhs251" localSheetId="3" hidden="1">integer</definedName>
    <definedName name="solver_rhs252" localSheetId="3" hidden="1">integer</definedName>
    <definedName name="solver_rhs253" localSheetId="3" hidden="1">integer</definedName>
    <definedName name="solver_rhs254" localSheetId="3" hidden="1">40</definedName>
    <definedName name="solver_rhs255" localSheetId="3" hidden="1">40</definedName>
    <definedName name="solver_rhs256" localSheetId="3" hidden="1">40</definedName>
    <definedName name="solver_rhs257" localSheetId="3" hidden="1">40</definedName>
    <definedName name="solver_rhs258" localSheetId="3" hidden="1">40</definedName>
    <definedName name="solver_rhs259" localSheetId="3" hidden="1">40</definedName>
    <definedName name="solver_rhs26" localSheetId="3" hidden="1">40</definedName>
    <definedName name="solver_rhs26" localSheetId="0" hidden="1">40</definedName>
    <definedName name="solver_rhs260" localSheetId="3" hidden="1">40</definedName>
    <definedName name="solver_rhs261" localSheetId="3" hidden="1">40</definedName>
    <definedName name="solver_rhs262" localSheetId="3" hidden="1">40</definedName>
    <definedName name="solver_rhs263" localSheetId="3" hidden="1">40</definedName>
    <definedName name="solver_rhs264" localSheetId="3" hidden="1">40</definedName>
    <definedName name="solver_rhs265" localSheetId="3" hidden="1">40</definedName>
    <definedName name="solver_rhs266" localSheetId="3" hidden="1">40</definedName>
    <definedName name="solver_rhs267" localSheetId="3" hidden="1">40</definedName>
    <definedName name="solver_rhs268" localSheetId="3" hidden="1">40</definedName>
    <definedName name="solver_rhs269" localSheetId="3" hidden="1">40</definedName>
    <definedName name="solver_rhs27" localSheetId="3" hidden="1">40</definedName>
    <definedName name="solver_rhs27" localSheetId="0" hidden="1">800</definedName>
    <definedName name="solver_rhs270" localSheetId="3" hidden="1">40</definedName>
    <definedName name="solver_rhs271" localSheetId="3" hidden="1">40</definedName>
    <definedName name="solver_rhs272" localSheetId="3" hidden="1">40</definedName>
    <definedName name="solver_rhs273" localSheetId="3" hidden="1">40</definedName>
    <definedName name="solver_rhs274" localSheetId="3" hidden="1">40</definedName>
    <definedName name="solver_rhs275" localSheetId="3" hidden="1">40</definedName>
    <definedName name="solver_rhs276" localSheetId="3" hidden="1">40</definedName>
    <definedName name="solver_rhs277" localSheetId="3" hidden="1">40</definedName>
    <definedName name="solver_rhs278" localSheetId="3" hidden="1">40</definedName>
    <definedName name="solver_rhs279" localSheetId="3" hidden="1">40</definedName>
    <definedName name="solver_rhs28" localSheetId="3" hidden="1">40</definedName>
    <definedName name="solver_rhs28" localSheetId="0" hidden="1">UserForm!$C$1</definedName>
    <definedName name="solver_rhs280" localSheetId="3" hidden="1">40</definedName>
    <definedName name="solver_rhs281" localSheetId="3" hidden="1">40</definedName>
    <definedName name="solver_rhs282" localSheetId="3" hidden="1">40</definedName>
    <definedName name="solver_rhs283" localSheetId="3" hidden="1">40</definedName>
    <definedName name="solver_rhs284" localSheetId="3" hidden="1">40</definedName>
    <definedName name="solver_rhs285" localSheetId="3" hidden="1">40</definedName>
    <definedName name="solver_rhs286" localSheetId="3" hidden="1">40</definedName>
    <definedName name="solver_rhs287" localSheetId="3" hidden="1">40</definedName>
    <definedName name="solver_rhs288" localSheetId="3" hidden="1">40</definedName>
    <definedName name="solver_rhs289" localSheetId="3" hidden="1">40</definedName>
    <definedName name="solver_rhs29" localSheetId="3" hidden="1">40</definedName>
    <definedName name="solver_rhs29" localSheetId="0" hidden="1">40</definedName>
    <definedName name="solver_rhs290" localSheetId="3" hidden="1">40</definedName>
    <definedName name="solver_rhs291" localSheetId="3" hidden="1">40</definedName>
    <definedName name="solver_rhs292" localSheetId="3" hidden="1">40</definedName>
    <definedName name="solver_rhs293" localSheetId="3" hidden="1">40</definedName>
    <definedName name="solver_rhs294" localSheetId="3" hidden="1">40</definedName>
    <definedName name="solver_rhs295" localSheetId="3" hidden="1">40</definedName>
    <definedName name="solver_rhs296" localSheetId="3" hidden="1">40</definedName>
    <definedName name="solver_rhs297" localSheetId="3" hidden="1">40</definedName>
    <definedName name="solver_rhs298" localSheetId="3" hidden="1">40</definedName>
    <definedName name="solver_rhs299" localSheetId="3" hidden="1">40</definedName>
    <definedName name="solver_rhs3" localSheetId="2" hidden="1">800</definedName>
    <definedName name="solver_rhs3" localSheetId="3" hidden="1">800</definedName>
    <definedName name="solver_rhs3" localSheetId="0" hidden="1">800</definedName>
    <definedName name="solver_rhs30" localSheetId="3" hidden="1">40</definedName>
    <definedName name="solver_rhs30" localSheetId="0" hidden="1">40</definedName>
    <definedName name="solver_rhs300" localSheetId="3" hidden="1">40</definedName>
    <definedName name="solver_rhs301" localSheetId="3" hidden="1">40</definedName>
    <definedName name="solver_rhs302" localSheetId="3" hidden="1">40</definedName>
    <definedName name="solver_rhs303" localSheetId="3" hidden="1">40</definedName>
    <definedName name="solver_rhs304" localSheetId="3" hidden="1">integer</definedName>
    <definedName name="solver_rhs305" localSheetId="3" hidden="1">40</definedName>
    <definedName name="solver_rhs306" localSheetId="3" hidden="1">40</definedName>
    <definedName name="solver_rhs307" localSheetId="3" hidden="1">40</definedName>
    <definedName name="solver_rhs308" localSheetId="3" hidden="1">40</definedName>
    <definedName name="solver_rhs309" localSheetId="3" hidden="1">40</definedName>
    <definedName name="solver_rhs31" localSheetId="3" hidden="1">40</definedName>
    <definedName name="solver_rhs31" localSheetId="0" hidden="1">800</definedName>
    <definedName name="solver_rhs310" localSheetId="3" hidden="1">40</definedName>
    <definedName name="solver_rhs311" localSheetId="3" hidden="1">40</definedName>
    <definedName name="solver_rhs312" localSheetId="3" hidden="1">40</definedName>
    <definedName name="solver_rhs313" localSheetId="3" hidden="1">40</definedName>
    <definedName name="solver_rhs314" localSheetId="3" hidden="1">40</definedName>
    <definedName name="solver_rhs315" localSheetId="3" hidden="1">40</definedName>
    <definedName name="solver_rhs316" localSheetId="3" hidden="1">40</definedName>
    <definedName name="solver_rhs317" localSheetId="3" hidden="1">40</definedName>
    <definedName name="solver_rhs318" localSheetId="3" hidden="1">40</definedName>
    <definedName name="solver_rhs319" localSheetId="3" hidden="1">40</definedName>
    <definedName name="solver_rhs32" localSheetId="3" hidden="1">40</definedName>
    <definedName name="solver_rhs32" localSheetId="0" hidden="1">UserForm!$C$1</definedName>
    <definedName name="solver_rhs320" localSheetId="3" hidden="1">40</definedName>
    <definedName name="solver_rhs321" localSheetId="3" hidden="1">40</definedName>
    <definedName name="solver_rhs322" localSheetId="3" hidden="1">40</definedName>
    <definedName name="solver_rhs323" localSheetId="3" hidden="1">40</definedName>
    <definedName name="solver_rhs324" localSheetId="3" hidden="1">40</definedName>
    <definedName name="solver_rhs325" localSheetId="3" hidden="1">40</definedName>
    <definedName name="solver_rhs326" localSheetId="3" hidden="1">40</definedName>
    <definedName name="solver_rhs327" localSheetId="3" hidden="1">40</definedName>
    <definedName name="solver_rhs328" localSheetId="3" hidden="1">40</definedName>
    <definedName name="solver_rhs329" localSheetId="3" hidden="1">40</definedName>
    <definedName name="solver_rhs33" localSheetId="3" hidden="1">40</definedName>
    <definedName name="solver_rhs33" localSheetId="0" hidden="1">40</definedName>
    <definedName name="solver_rhs330" localSheetId="3" hidden="1">40</definedName>
    <definedName name="solver_rhs331" localSheetId="3" hidden="1">40</definedName>
    <definedName name="solver_rhs332" localSheetId="3" hidden="1">40</definedName>
    <definedName name="solver_rhs333" localSheetId="3" hidden="1">40</definedName>
    <definedName name="solver_rhs334" localSheetId="3" hidden="1">40</definedName>
    <definedName name="solver_rhs335" localSheetId="3" hidden="1">40</definedName>
    <definedName name="solver_rhs336" localSheetId="3" hidden="1">40</definedName>
    <definedName name="solver_rhs337" localSheetId="3" hidden="1">40</definedName>
    <definedName name="solver_rhs338" localSheetId="3" hidden="1">40</definedName>
    <definedName name="solver_rhs339" localSheetId="3" hidden="1">40</definedName>
    <definedName name="solver_rhs34" localSheetId="3" hidden="1">40</definedName>
    <definedName name="solver_rhs34" localSheetId="0" hidden="1">40</definedName>
    <definedName name="solver_rhs340" localSheetId="3" hidden="1">40</definedName>
    <definedName name="solver_rhs341" localSheetId="3" hidden="1">integer</definedName>
    <definedName name="solver_rhs342" localSheetId="3" hidden="1">integer</definedName>
    <definedName name="solver_rhs343" localSheetId="3" hidden="1">40</definedName>
    <definedName name="solver_rhs344" localSheetId="3" hidden="1">integer</definedName>
    <definedName name="solver_rhs345" localSheetId="3" hidden="1">40</definedName>
    <definedName name="solver_rhs346" localSheetId="3" hidden="1">integer</definedName>
    <definedName name="solver_rhs347" localSheetId="3" hidden="1">integer</definedName>
    <definedName name="solver_rhs348" localSheetId="3" hidden="1">integer</definedName>
    <definedName name="solver_rhs349" localSheetId="3" hidden="1">40</definedName>
    <definedName name="solver_rhs35" localSheetId="3" hidden="1">40</definedName>
    <definedName name="solver_rhs35" localSheetId="0" hidden="1">800</definedName>
    <definedName name="solver_rhs350" localSheetId="3" hidden="1">integer</definedName>
    <definedName name="solver_rhs351" localSheetId="3" hidden="1">integer</definedName>
    <definedName name="solver_rhs352" localSheetId="3" hidden="1">40</definedName>
    <definedName name="solver_rhs353" localSheetId="3" hidden="1">integer</definedName>
    <definedName name="solver_rhs354" localSheetId="3" hidden="1">integer</definedName>
    <definedName name="solver_rhs355" localSheetId="3" hidden="1">40</definedName>
    <definedName name="solver_rhs356" localSheetId="3" hidden="1">integer</definedName>
    <definedName name="solver_rhs357" localSheetId="3" hidden="1">integer</definedName>
    <definedName name="solver_rhs358" localSheetId="3" hidden="1">integer</definedName>
    <definedName name="solver_rhs359" localSheetId="3" hidden="1">integer</definedName>
    <definedName name="solver_rhs36" localSheetId="3" hidden="1">40</definedName>
    <definedName name="solver_rhs36" localSheetId="0" hidden="1">UserForm!$C$1</definedName>
    <definedName name="solver_rhs360" localSheetId="3" hidden="1">integer</definedName>
    <definedName name="solver_rhs361" localSheetId="3" hidden="1">integer</definedName>
    <definedName name="solver_rhs362" localSheetId="3" hidden="1">integer</definedName>
    <definedName name="solver_rhs363" localSheetId="3" hidden="1">integer</definedName>
    <definedName name="solver_rhs364" localSheetId="3" hidden="1">integer</definedName>
    <definedName name="solver_rhs365" localSheetId="3" hidden="1">integer</definedName>
    <definedName name="solver_rhs366" localSheetId="3" hidden="1">integer</definedName>
    <definedName name="solver_rhs367" localSheetId="3" hidden="1">40</definedName>
    <definedName name="solver_rhs368" localSheetId="3" hidden="1">integer</definedName>
    <definedName name="solver_rhs369" localSheetId="3" hidden="1">integer</definedName>
    <definedName name="solver_rhs37" localSheetId="3" hidden="1">40</definedName>
    <definedName name="solver_rhs37" localSheetId="0" hidden="1">40</definedName>
    <definedName name="solver_rhs370" localSheetId="3" hidden="1">integer</definedName>
    <definedName name="solver_rhs371" localSheetId="3" hidden="1">integer</definedName>
    <definedName name="solver_rhs372" localSheetId="3" hidden="1">integer</definedName>
    <definedName name="solver_rhs373" localSheetId="3" hidden="1">integer</definedName>
    <definedName name="solver_rhs374" localSheetId="3" hidden="1">integer</definedName>
    <definedName name="solver_rhs375" localSheetId="3" hidden="1">integer</definedName>
    <definedName name="solver_rhs376" localSheetId="3" hidden="1">integer</definedName>
    <definedName name="solver_rhs377" localSheetId="3" hidden="1">integer</definedName>
    <definedName name="solver_rhs378" localSheetId="3" hidden="1">integer</definedName>
    <definedName name="solver_rhs379" localSheetId="3" hidden="1">integer</definedName>
    <definedName name="solver_rhs38" localSheetId="3" hidden="1">40</definedName>
    <definedName name="solver_rhs38" localSheetId="0" hidden="1">800</definedName>
    <definedName name="solver_rhs380" localSheetId="3" hidden="1">integer</definedName>
    <definedName name="solver_rhs381" localSheetId="3" hidden="1">integer</definedName>
    <definedName name="solver_rhs382" localSheetId="3" hidden="1">integer</definedName>
    <definedName name="solver_rhs383" localSheetId="3" hidden="1">integer</definedName>
    <definedName name="solver_rhs384" localSheetId="3" hidden="1">integer</definedName>
    <definedName name="solver_rhs385" localSheetId="3" hidden="1">integer</definedName>
    <definedName name="solver_rhs386" localSheetId="3" hidden="1">integer</definedName>
    <definedName name="solver_rhs387" localSheetId="3" hidden="1">integer</definedName>
    <definedName name="solver_rhs388" localSheetId="3" hidden="1">integer</definedName>
    <definedName name="solver_rhs389" localSheetId="3" hidden="1">integer</definedName>
    <definedName name="solver_rhs39" localSheetId="3" hidden="1">40</definedName>
    <definedName name="solver_rhs39" localSheetId="0" hidden="1">integer</definedName>
    <definedName name="solver_rhs390" localSheetId="3" hidden="1">integer</definedName>
    <definedName name="solver_rhs391" localSheetId="3" hidden="1">integer</definedName>
    <definedName name="solver_rhs392" localSheetId="3" hidden="1">integer</definedName>
    <definedName name="solver_rhs393" localSheetId="3" hidden="1">integer</definedName>
    <definedName name="solver_rhs394" localSheetId="3" hidden="1">integer</definedName>
    <definedName name="solver_rhs395" localSheetId="3" hidden="1">integer</definedName>
    <definedName name="solver_rhs396" localSheetId="3" hidden="1">integer</definedName>
    <definedName name="solver_rhs397" localSheetId="3" hidden="1">integer</definedName>
    <definedName name="solver_rhs398" localSheetId="3" hidden="1">integer</definedName>
    <definedName name="solver_rhs399" localSheetId="3" hidden="1">integer</definedName>
    <definedName name="solver_rhs4" localSheetId="2" hidden="1">Reverse!#REF!</definedName>
    <definedName name="solver_rhs4" localSheetId="3" hidden="1">200</definedName>
    <definedName name="solver_rhs4" localSheetId="0" hidden="1">UserForm!$C$1</definedName>
    <definedName name="solver_rhs40" localSheetId="3" hidden="1">40</definedName>
    <definedName name="solver_rhs40" localSheetId="0" hidden="1">integer</definedName>
    <definedName name="solver_rhs400" localSheetId="3" hidden="1">integer</definedName>
    <definedName name="solver_rhs401" localSheetId="3" hidden="1">integer</definedName>
    <definedName name="solver_rhs402" localSheetId="3" hidden="1">integer</definedName>
    <definedName name="solver_rhs403" localSheetId="3" hidden="1">integer</definedName>
    <definedName name="solver_rhs404" localSheetId="3" hidden="1">integer</definedName>
    <definedName name="solver_rhs405" localSheetId="3" hidden="1">integer</definedName>
    <definedName name="solver_rhs406" localSheetId="3" hidden="1">40</definedName>
    <definedName name="solver_rhs407" localSheetId="3" hidden="1">integer</definedName>
    <definedName name="solver_rhs408" localSheetId="3" hidden="1">integer</definedName>
    <definedName name="solver_rhs409" localSheetId="3" hidden="1">integer</definedName>
    <definedName name="solver_rhs41" localSheetId="3" hidden="1">40</definedName>
    <definedName name="solver_rhs41" localSheetId="0" hidden="1">integer</definedName>
    <definedName name="solver_rhs410" localSheetId="3" hidden="1">integer</definedName>
    <definedName name="solver_rhs411" localSheetId="3" hidden="1">integer</definedName>
    <definedName name="solver_rhs412" localSheetId="3" hidden="1">integer</definedName>
    <definedName name="solver_rhs413" localSheetId="3" hidden="1">integer</definedName>
    <definedName name="solver_rhs414" localSheetId="3" hidden="1">integer</definedName>
    <definedName name="solver_rhs415" localSheetId="3" hidden="1">integer</definedName>
    <definedName name="solver_rhs416" localSheetId="3" hidden="1">integer</definedName>
    <definedName name="solver_rhs417" localSheetId="3" hidden="1">integer</definedName>
    <definedName name="solver_rhs418" localSheetId="3" hidden="1">integer</definedName>
    <definedName name="solver_rhs419" localSheetId="3" hidden="1">integer</definedName>
    <definedName name="solver_rhs42" localSheetId="3" hidden="1">40</definedName>
    <definedName name="solver_rhs42" localSheetId="0" hidden="1">UserForm!$C$1</definedName>
    <definedName name="solver_rhs420" localSheetId="3" hidden="1">integer</definedName>
    <definedName name="solver_rhs421" localSheetId="3" hidden="1">integer</definedName>
    <definedName name="solver_rhs422" localSheetId="3" hidden="1">integer</definedName>
    <definedName name="solver_rhs423" localSheetId="3" hidden="1">integer</definedName>
    <definedName name="solver_rhs424" localSheetId="3" hidden="1">integer</definedName>
    <definedName name="solver_rhs425" localSheetId="3" hidden="1">integer</definedName>
    <definedName name="solver_rhs426" localSheetId="3" hidden="1">integer</definedName>
    <definedName name="solver_rhs427" localSheetId="3" hidden="1">integer</definedName>
    <definedName name="solver_rhs428" localSheetId="3" hidden="1">integer</definedName>
    <definedName name="solver_rhs429" localSheetId="3" hidden="1">integer</definedName>
    <definedName name="solver_rhs43" localSheetId="3" hidden="1">40</definedName>
    <definedName name="solver_rhs43" localSheetId="0" hidden="1">40</definedName>
    <definedName name="solver_rhs430" localSheetId="3" hidden="1">integer</definedName>
    <definedName name="solver_rhs431" localSheetId="3" hidden="1">integer</definedName>
    <definedName name="solver_rhs432" localSheetId="3" hidden="1">integer</definedName>
    <definedName name="solver_rhs433" localSheetId="3" hidden="1">integer</definedName>
    <definedName name="solver_rhs434" localSheetId="3" hidden="1">integer</definedName>
    <definedName name="solver_rhs435" localSheetId="3" hidden="1">integer</definedName>
    <definedName name="solver_rhs436" localSheetId="3" hidden="1">integer</definedName>
    <definedName name="solver_rhs437" localSheetId="3" hidden="1">integer</definedName>
    <definedName name="solver_rhs438" localSheetId="3" hidden="1">integer</definedName>
    <definedName name="solver_rhs439" localSheetId="3" hidden="1">integer</definedName>
    <definedName name="solver_rhs44" localSheetId="3" hidden="1">40</definedName>
    <definedName name="solver_rhs44" localSheetId="0" hidden="1">40</definedName>
    <definedName name="solver_rhs440" localSheetId="3" hidden="1">integer</definedName>
    <definedName name="solver_rhs441" localSheetId="3" hidden="1">integer</definedName>
    <definedName name="solver_rhs442" localSheetId="3" hidden="1">integer</definedName>
    <definedName name="solver_rhs443" localSheetId="3" hidden="1">integer</definedName>
    <definedName name="solver_rhs444" localSheetId="3" hidden="1">integer</definedName>
    <definedName name="solver_rhs445" localSheetId="3" hidden="1">integer</definedName>
    <definedName name="solver_rhs446" localSheetId="3" hidden="1">integer</definedName>
    <definedName name="solver_rhs447" localSheetId="3" hidden="1">integer</definedName>
    <definedName name="solver_rhs448" localSheetId="3" hidden="1">integer</definedName>
    <definedName name="solver_rhs449" localSheetId="3" hidden="1">integer</definedName>
    <definedName name="solver_rhs45" localSheetId="3" hidden="1">40</definedName>
    <definedName name="solver_rhs45" localSheetId="0" hidden="1">800</definedName>
    <definedName name="solver_rhs450" localSheetId="3" hidden="1">integer</definedName>
    <definedName name="solver_rhs451" localSheetId="3" hidden="1">integer</definedName>
    <definedName name="solver_rhs452" localSheetId="3" hidden="1">integer</definedName>
    <definedName name="solver_rhs453" localSheetId="3" hidden="1">integer</definedName>
    <definedName name="solver_rhs454" localSheetId="3" hidden="1">integer</definedName>
    <definedName name="solver_rhs455" localSheetId="3" hidden="1">integer</definedName>
    <definedName name="solver_rhs456" localSheetId="3" hidden="1">800</definedName>
    <definedName name="solver_rhs457" localSheetId="3" hidden="1">integer</definedName>
    <definedName name="solver_rhs458" localSheetId="3" hidden="1">800</definedName>
    <definedName name="solver_rhs459" localSheetId="3" hidden="1">800</definedName>
    <definedName name="solver_rhs46" localSheetId="3" hidden="1">40</definedName>
    <definedName name="solver_rhs46" localSheetId="0" hidden="1">integer</definedName>
    <definedName name="solver_rhs460" localSheetId="3" hidden="1">integer</definedName>
    <definedName name="solver_rhs461" localSheetId="3" hidden="1">800</definedName>
    <definedName name="solver_rhs462" localSheetId="3" hidden="1">800</definedName>
    <definedName name="solver_rhs463" localSheetId="3" hidden="1">integer</definedName>
    <definedName name="solver_rhs464" localSheetId="3" hidden="1">800</definedName>
    <definedName name="solver_rhs465" localSheetId="3" hidden="1">800</definedName>
    <definedName name="solver_rhs466" localSheetId="3" hidden="1">integer</definedName>
    <definedName name="solver_rhs467" localSheetId="3" hidden="1">800</definedName>
    <definedName name="solver_rhs468" localSheetId="3" hidden="1">800</definedName>
    <definedName name="solver_rhs469" localSheetId="3" hidden="1">800</definedName>
    <definedName name="solver_rhs47" localSheetId="3" hidden="1">40</definedName>
    <definedName name="solver_rhs47" localSheetId="0" hidden="1">integer</definedName>
    <definedName name="solver_rhs470" localSheetId="3" hidden="1">800</definedName>
    <definedName name="solver_rhs471" localSheetId="3" hidden="1">800</definedName>
    <definedName name="solver_rhs472" localSheetId="3" hidden="1">integer</definedName>
    <definedName name="solver_rhs473" localSheetId="3" hidden="1">800</definedName>
    <definedName name="solver_rhs474" localSheetId="3" hidden="1">800</definedName>
    <definedName name="solver_rhs475" localSheetId="3" hidden="1">integer</definedName>
    <definedName name="solver_rhs476" localSheetId="3" hidden="1">800</definedName>
    <definedName name="solver_rhs477" localSheetId="3" hidden="1">800</definedName>
    <definedName name="solver_rhs478" localSheetId="3" hidden="1">800</definedName>
    <definedName name="solver_rhs479" localSheetId="3" hidden="1">800</definedName>
    <definedName name="solver_rhs48" localSheetId="3" hidden="1">40</definedName>
    <definedName name="solver_rhs48" localSheetId="0" hidden="1">integer</definedName>
    <definedName name="solver_rhs480" localSheetId="3" hidden="1">800</definedName>
    <definedName name="solver_rhs481" localSheetId="3" hidden="1">800</definedName>
    <definedName name="solver_rhs482" localSheetId="3" hidden="1">800</definedName>
    <definedName name="solver_rhs483" localSheetId="3" hidden="1">800</definedName>
    <definedName name="solver_rhs484" localSheetId="3" hidden="1">800</definedName>
    <definedName name="solver_rhs485" localSheetId="3" hidden="1">800</definedName>
    <definedName name="solver_rhs486" localSheetId="3" hidden="1">800</definedName>
    <definedName name="solver_rhs487" localSheetId="3" hidden="1">800</definedName>
    <definedName name="solver_rhs488" localSheetId="3" hidden="1">integer</definedName>
    <definedName name="solver_rhs489" localSheetId="3" hidden="1">800</definedName>
    <definedName name="solver_rhs49" localSheetId="3" hidden="1">40</definedName>
    <definedName name="solver_rhs49" localSheetId="0" hidden="1">UserForm!$C$1</definedName>
    <definedName name="solver_rhs490" localSheetId="3" hidden="1">800</definedName>
    <definedName name="solver_rhs491" localSheetId="3" hidden="1">800</definedName>
    <definedName name="solver_rhs492" localSheetId="3" hidden="1">800</definedName>
    <definedName name="solver_rhs493" localSheetId="3" hidden="1">800</definedName>
    <definedName name="solver_rhs494" localSheetId="3" hidden="1">800</definedName>
    <definedName name="solver_rhs495" localSheetId="3" hidden="1">40</definedName>
    <definedName name="solver_rhs496" localSheetId="3" hidden="1">800</definedName>
    <definedName name="solver_rhs497" localSheetId="3" hidden="1">800</definedName>
    <definedName name="solver_rhs498" localSheetId="3" hidden="1">800</definedName>
    <definedName name="solver_rhs499" localSheetId="3" hidden="1">800</definedName>
    <definedName name="solver_rhs5" localSheetId="3" hidden="1">40</definedName>
    <definedName name="solver_rhs5" localSheetId="0" hidden="1">40</definedName>
    <definedName name="solver_rhs50" localSheetId="3" hidden="1">40</definedName>
    <definedName name="solver_rhs50" localSheetId="0" hidden="1">40</definedName>
    <definedName name="solver_rhs500" localSheetId="3" hidden="1">800</definedName>
    <definedName name="solver_rhs501" localSheetId="3" hidden="1">800</definedName>
    <definedName name="solver_rhs502" localSheetId="3" hidden="1">800</definedName>
    <definedName name="solver_rhs503" localSheetId="3" hidden="1">800</definedName>
    <definedName name="solver_rhs504" localSheetId="3" hidden="1">800</definedName>
    <definedName name="solver_rhs505" localSheetId="3" hidden="1">800</definedName>
    <definedName name="solver_rhs506" localSheetId="3" hidden="1">800</definedName>
    <definedName name="solver_rhs507" localSheetId="3" hidden="1">800</definedName>
    <definedName name="solver_rhs508" localSheetId="3" hidden="1">integer</definedName>
    <definedName name="solver_rhs509" localSheetId="3" hidden="1">800</definedName>
    <definedName name="solver_rhs51" localSheetId="3" hidden="1">40</definedName>
    <definedName name="solver_rhs51" localSheetId="0" hidden="1">40</definedName>
    <definedName name="solver_rhs510" localSheetId="3" hidden="1">800</definedName>
    <definedName name="solver_rhs511" localSheetId="3" hidden="1">800</definedName>
    <definedName name="solver_rhs512" localSheetId="3" hidden="1">800</definedName>
    <definedName name="solver_rhs513" localSheetId="3" hidden="1">800</definedName>
    <definedName name="solver_rhs514" localSheetId="3" hidden="1">800</definedName>
    <definedName name="solver_rhs515" localSheetId="3" hidden="1">800</definedName>
    <definedName name="solver_rhs516" localSheetId="3" hidden="1">800</definedName>
    <definedName name="solver_rhs517" localSheetId="3" hidden="1">800</definedName>
    <definedName name="solver_rhs518" localSheetId="3" hidden="1">800</definedName>
    <definedName name="solver_rhs519" localSheetId="3" hidden="1">800</definedName>
    <definedName name="solver_rhs52" localSheetId="3" hidden="1">40</definedName>
    <definedName name="solver_rhs52" localSheetId="0" hidden="1">800</definedName>
    <definedName name="solver_rhs520" localSheetId="3" hidden="1">800</definedName>
    <definedName name="solver_rhs521" localSheetId="3" hidden="1">800</definedName>
    <definedName name="solver_rhs522" localSheetId="3" hidden="1">800</definedName>
    <definedName name="solver_rhs523" localSheetId="3" hidden="1">800</definedName>
    <definedName name="solver_rhs524" localSheetId="3" hidden="1">800</definedName>
    <definedName name="solver_rhs525" localSheetId="3" hidden="1">800</definedName>
    <definedName name="solver_rhs526" localSheetId="3" hidden="1">800</definedName>
    <definedName name="solver_rhs527" localSheetId="3" hidden="1">800</definedName>
    <definedName name="solver_rhs528" localSheetId="3" hidden="1">800</definedName>
    <definedName name="solver_rhs529" localSheetId="3" hidden="1">800</definedName>
    <definedName name="solver_rhs53" localSheetId="3" hidden="1">40</definedName>
    <definedName name="solver_rhs53" localSheetId="0" hidden="1">integer</definedName>
    <definedName name="solver_rhs530" localSheetId="3" hidden="1">800</definedName>
    <definedName name="solver_rhs531" localSheetId="3" hidden="1">800</definedName>
    <definedName name="solver_rhs532" localSheetId="3" hidden="1">800</definedName>
    <definedName name="solver_rhs533" localSheetId="3" hidden="1">800</definedName>
    <definedName name="solver_rhs534" localSheetId="3" hidden="1">800</definedName>
    <definedName name="solver_rhs535" localSheetId="3" hidden="1">800</definedName>
    <definedName name="solver_rhs536" localSheetId="3" hidden="1">800</definedName>
    <definedName name="solver_rhs537" localSheetId="3" hidden="1">800</definedName>
    <definedName name="solver_rhs538" localSheetId="3" hidden="1">800</definedName>
    <definedName name="solver_rhs539" localSheetId="3" hidden="1">800</definedName>
    <definedName name="solver_rhs54" localSheetId="3" hidden="1">40</definedName>
    <definedName name="solver_rhs54" localSheetId="0" hidden="1">integer</definedName>
    <definedName name="solver_rhs540" localSheetId="3" hidden="1">800</definedName>
    <definedName name="solver_rhs541" localSheetId="3" hidden="1">800</definedName>
    <definedName name="solver_rhs542" localSheetId="3" hidden="1">800</definedName>
    <definedName name="solver_rhs543" localSheetId="3" hidden="1">800</definedName>
    <definedName name="solver_rhs544" localSheetId="3" hidden="1">800</definedName>
    <definedName name="solver_rhs545" localSheetId="3" hidden="1">800</definedName>
    <definedName name="solver_rhs546" localSheetId="3" hidden="1">800</definedName>
    <definedName name="solver_rhs547" localSheetId="3" hidden="1">800</definedName>
    <definedName name="solver_rhs548" localSheetId="3" hidden="1">800</definedName>
    <definedName name="solver_rhs549" localSheetId="3" hidden="1">800</definedName>
    <definedName name="solver_rhs55" localSheetId="3" hidden="1">40</definedName>
    <definedName name="solver_rhs55" localSheetId="0" hidden="1">integer</definedName>
    <definedName name="solver_rhs550" localSheetId="3" hidden="1">800</definedName>
    <definedName name="solver_rhs551" localSheetId="3" hidden="1">800</definedName>
    <definedName name="solver_rhs552" localSheetId="3" hidden="1">800</definedName>
    <definedName name="solver_rhs553" localSheetId="3" hidden="1">800</definedName>
    <definedName name="solver_rhs554" localSheetId="3" hidden="1">800</definedName>
    <definedName name="solver_rhs555" localSheetId="3" hidden="1">800</definedName>
    <definedName name="solver_rhs556" localSheetId="3" hidden="1">800</definedName>
    <definedName name="solver_rhs557" localSheetId="3" hidden="1">800</definedName>
    <definedName name="solver_rhs558" localSheetId="3" hidden="1">800</definedName>
    <definedName name="solver_rhs559" localSheetId="3" hidden="1">800</definedName>
    <definedName name="solver_rhs56" localSheetId="3" hidden="1">40</definedName>
    <definedName name="solver_rhs56" localSheetId="0" hidden="1">UserForm!$C$1</definedName>
    <definedName name="solver_rhs560" localSheetId="3" hidden="1">800</definedName>
    <definedName name="solver_rhs561" localSheetId="3" hidden="1">800</definedName>
    <definedName name="solver_rhs562" localSheetId="3" hidden="1">800</definedName>
    <definedName name="solver_rhs563" localSheetId="3" hidden="1">800</definedName>
    <definedName name="solver_rhs564" localSheetId="3" hidden="1">800</definedName>
    <definedName name="solver_rhs565" localSheetId="3" hidden="1">800</definedName>
    <definedName name="solver_rhs566" localSheetId="3" hidden="1">800</definedName>
    <definedName name="solver_rhs567" localSheetId="3" hidden="1">800</definedName>
    <definedName name="solver_rhs568" localSheetId="3" hidden="1">800</definedName>
    <definedName name="solver_rhs569" localSheetId="3" hidden="1">800</definedName>
    <definedName name="solver_rhs57" localSheetId="3" hidden="1">40</definedName>
    <definedName name="solver_rhs57" localSheetId="0" hidden="1">40</definedName>
    <definedName name="solver_rhs570" localSheetId="3" hidden="1">800</definedName>
    <definedName name="solver_rhs571" localSheetId="3" hidden="1">800</definedName>
    <definedName name="solver_rhs572" localSheetId="3" hidden="1">800</definedName>
    <definedName name="solver_rhs573" localSheetId="3" hidden="1">800</definedName>
    <definedName name="solver_rhs574" localSheetId="3" hidden="1">800</definedName>
    <definedName name="solver_rhs575" localSheetId="3" hidden="1">800</definedName>
    <definedName name="solver_rhs576" localSheetId="3" hidden="1">800</definedName>
    <definedName name="solver_rhs577" localSheetId="3" hidden="1">integer</definedName>
    <definedName name="solver_rhs578" localSheetId="3" hidden="1">800</definedName>
    <definedName name="solver_rhs579" localSheetId="3" hidden="1">integer</definedName>
    <definedName name="solver_rhs58" localSheetId="3" hidden="1">40</definedName>
    <definedName name="solver_rhs58" localSheetId="0" hidden="1">40</definedName>
    <definedName name="solver_rhs580" localSheetId="3" hidden="1">800</definedName>
    <definedName name="solver_rhs581" localSheetId="3" hidden="1">integer</definedName>
    <definedName name="solver_rhs582" localSheetId="3" hidden="1">integer</definedName>
    <definedName name="solver_rhs583" localSheetId="3" hidden="1">800</definedName>
    <definedName name="solver_rhs584" localSheetId="3" hidden="1">integer</definedName>
    <definedName name="solver_rhs585" localSheetId="3" hidden="1">integer</definedName>
    <definedName name="solver_rhs586" localSheetId="3" hidden="1">integer</definedName>
    <definedName name="solver_rhs587" localSheetId="3" hidden="1">integer</definedName>
    <definedName name="solver_rhs588" localSheetId="3" hidden="1">integer</definedName>
    <definedName name="solver_rhs589" localSheetId="3" hidden="1">integer</definedName>
    <definedName name="solver_rhs59" localSheetId="3" hidden="1">40</definedName>
    <definedName name="solver_rhs59" localSheetId="0" hidden="1">800</definedName>
    <definedName name="solver_rhs590" localSheetId="3" hidden="1">integer</definedName>
    <definedName name="solver_rhs591" localSheetId="3" hidden="1">integer</definedName>
    <definedName name="solver_rhs592" localSheetId="3" hidden="1">integer</definedName>
    <definedName name="solver_rhs593" localSheetId="3" hidden="1">integer</definedName>
    <definedName name="solver_rhs594" localSheetId="3" hidden="1">integer</definedName>
    <definedName name="solver_rhs595" localSheetId="3" hidden="1">integer</definedName>
    <definedName name="solver_rhs596" localSheetId="3" hidden="1">integer</definedName>
    <definedName name="solver_rhs597" localSheetId="3" hidden="1">integer</definedName>
    <definedName name="solver_rhs598" localSheetId="3" hidden="1">integer</definedName>
    <definedName name="solver_rhs599" localSheetId="3" hidden="1">integer</definedName>
    <definedName name="solver_rhs6" localSheetId="3" hidden="1">10</definedName>
    <definedName name="solver_rhs6" localSheetId="0" hidden="1">40</definedName>
    <definedName name="solver_rhs60" localSheetId="3" hidden="1">40</definedName>
    <definedName name="solver_rhs60" localSheetId="0" hidden="1">integer</definedName>
    <definedName name="solver_rhs600" localSheetId="3" hidden="1">integer</definedName>
    <definedName name="solver_rhs601" localSheetId="3" hidden="1">integer</definedName>
    <definedName name="solver_rhs602" localSheetId="3" hidden="1">integer</definedName>
    <definedName name="solver_rhs603" localSheetId="3" hidden="1">integer</definedName>
    <definedName name="solver_rhs604" localSheetId="3" hidden="1">integer</definedName>
    <definedName name="solver_rhs605" localSheetId="3" hidden="1">integer</definedName>
    <definedName name="solver_rhs606" localSheetId="3" hidden="1">integer</definedName>
    <definedName name="solver_rhs607" localSheetId="3" hidden="1">integer</definedName>
    <definedName name="solver_rhs608" localSheetId="3" hidden="1">integer</definedName>
    <definedName name="solver_rhs609" localSheetId="3" hidden="1">800</definedName>
    <definedName name="solver_rhs61" localSheetId="3" hidden="1">40</definedName>
    <definedName name="solver_rhs61" localSheetId="0" hidden="1">integer</definedName>
    <definedName name="solver_rhs610" localSheetId="3" hidden="1">integer</definedName>
    <definedName name="solver_rhs611" localSheetId="3" hidden="1">integer</definedName>
    <definedName name="solver_rhs612" localSheetId="3" hidden="1">integer</definedName>
    <definedName name="solver_rhs613" localSheetId="3" hidden="1">integer</definedName>
    <definedName name="solver_rhs614" localSheetId="3" hidden="1">integer</definedName>
    <definedName name="solver_rhs615" localSheetId="3" hidden="1">integer</definedName>
    <definedName name="solver_rhs616" localSheetId="3" hidden="1">integer</definedName>
    <definedName name="solver_rhs617" localSheetId="3" hidden="1">integer</definedName>
    <definedName name="solver_rhs618" localSheetId="3" hidden="1">integer</definedName>
    <definedName name="solver_rhs619" localSheetId="3" hidden="1">integer</definedName>
    <definedName name="solver_rhs62" localSheetId="3" hidden="1">40</definedName>
    <definedName name="solver_rhs62" localSheetId="0" hidden="1">integer</definedName>
    <definedName name="solver_rhs620" localSheetId="3" hidden="1">integer</definedName>
    <definedName name="solver_rhs621" localSheetId="3" hidden="1">integer</definedName>
    <definedName name="solver_rhs622" localSheetId="3" hidden="1">integer</definedName>
    <definedName name="solver_rhs623" localSheetId="3" hidden="1">integer</definedName>
    <definedName name="solver_rhs624" localSheetId="3" hidden="1">integer</definedName>
    <definedName name="solver_rhs625" localSheetId="3" hidden="1">integer</definedName>
    <definedName name="solver_rhs626" localSheetId="3" hidden="1">integer</definedName>
    <definedName name="solver_rhs627" localSheetId="3" hidden="1">integer</definedName>
    <definedName name="solver_rhs628" localSheetId="3" hidden="1">integer</definedName>
    <definedName name="solver_rhs629" localSheetId="3" hidden="1">integer</definedName>
    <definedName name="solver_rhs63" localSheetId="3" hidden="1">40</definedName>
    <definedName name="solver_rhs63" localSheetId="0" hidden="1">UserForm!$C$1</definedName>
    <definedName name="solver_rhs630" localSheetId="3" hidden="1">integer</definedName>
    <definedName name="solver_rhs631" localSheetId="3" hidden="1">integer</definedName>
    <definedName name="solver_rhs632" localSheetId="3" hidden="1">integer</definedName>
    <definedName name="solver_rhs633" localSheetId="3" hidden="1">integer</definedName>
    <definedName name="solver_rhs634" localSheetId="3" hidden="1">integer</definedName>
    <definedName name="solver_rhs635" localSheetId="3" hidden="1">integer</definedName>
    <definedName name="solver_rhs636" localSheetId="3" hidden="1">integer</definedName>
    <definedName name="solver_rhs637" localSheetId="3" hidden="1">integer</definedName>
    <definedName name="solver_rhs638" localSheetId="3" hidden="1">integer</definedName>
    <definedName name="solver_rhs639" localSheetId="3" hidden="1">integer</definedName>
    <definedName name="solver_rhs64" localSheetId="3" hidden="1">40</definedName>
    <definedName name="solver_rhs64" localSheetId="0" hidden="1">40</definedName>
    <definedName name="solver_rhs640" localSheetId="3" hidden="1">integer</definedName>
    <definedName name="solver_rhs641" localSheetId="3" hidden="1">integer</definedName>
    <definedName name="solver_rhs642" localSheetId="3" hidden="1">integer</definedName>
    <definedName name="solver_rhs643" localSheetId="3" hidden="1">integer</definedName>
    <definedName name="solver_rhs644" localSheetId="3" hidden="1">integer</definedName>
    <definedName name="solver_rhs645" localSheetId="3" hidden="1">integer</definedName>
    <definedName name="solver_rhs646" localSheetId="3" hidden="1">integer</definedName>
    <definedName name="solver_rhs647" localSheetId="3" hidden="1">integer</definedName>
    <definedName name="solver_rhs648" localSheetId="3" hidden="1">integer</definedName>
    <definedName name="solver_rhs649" localSheetId="3" hidden="1">integer</definedName>
    <definedName name="solver_rhs65" localSheetId="3" hidden="1">40</definedName>
    <definedName name="solver_rhs65" localSheetId="0" hidden="1">40</definedName>
    <definedName name="solver_rhs650" localSheetId="3" hidden="1">integer</definedName>
    <definedName name="solver_rhs651" localSheetId="3" hidden="1">integer</definedName>
    <definedName name="solver_rhs652" localSheetId="3" hidden="1">integer</definedName>
    <definedName name="solver_rhs653" localSheetId="3" hidden="1">integer</definedName>
    <definedName name="solver_rhs654" localSheetId="3" hidden="1">integer</definedName>
    <definedName name="solver_rhs655" localSheetId="3" hidden="1">integer</definedName>
    <definedName name="solver_rhs656" localSheetId="3" hidden="1">integer</definedName>
    <definedName name="solver_rhs657" localSheetId="3" hidden="1">integer</definedName>
    <definedName name="solver_rhs658" localSheetId="3" hidden="1">integer</definedName>
    <definedName name="solver_rhs659" localSheetId="3" hidden="1">integer</definedName>
    <definedName name="solver_rhs66" localSheetId="3" hidden="1">40</definedName>
    <definedName name="solver_rhs66" localSheetId="0" hidden="1">800</definedName>
    <definedName name="solver_rhs660" localSheetId="3" hidden="1">integer</definedName>
    <definedName name="solver_rhs661" localSheetId="3" hidden="1">integer</definedName>
    <definedName name="solver_rhs662" localSheetId="3" hidden="1">integer</definedName>
    <definedName name="solver_rhs663" localSheetId="3" hidden="1">integer</definedName>
    <definedName name="solver_rhs664" localSheetId="3" hidden="1">integer</definedName>
    <definedName name="solver_rhs665" localSheetId="3" hidden="1">integer</definedName>
    <definedName name="solver_rhs666" localSheetId="3" hidden="1">integer</definedName>
    <definedName name="solver_rhs667" localSheetId="3" hidden="1">integer</definedName>
    <definedName name="solver_rhs668" localSheetId="3" hidden="1">integer</definedName>
    <definedName name="solver_rhs669" localSheetId="3" hidden="1">integer</definedName>
    <definedName name="solver_rhs67" localSheetId="3" hidden="1">40</definedName>
    <definedName name="solver_rhs67" localSheetId="0" hidden="1">integer</definedName>
    <definedName name="solver_rhs670" localSheetId="3" hidden="1">integer</definedName>
    <definedName name="solver_rhs671" localSheetId="3" hidden="1">integer</definedName>
    <definedName name="solver_rhs672" localSheetId="3" hidden="1">integer</definedName>
    <definedName name="solver_rhs673" localSheetId="3" hidden="1">integer</definedName>
    <definedName name="solver_rhs674" localSheetId="3" hidden="1">integer</definedName>
    <definedName name="solver_rhs675" localSheetId="3" hidden="1">integer</definedName>
    <definedName name="solver_rhs676" localSheetId="3" hidden="1">integer</definedName>
    <definedName name="solver_rhs677" localSheetId="3" hidden="1">integer</definedName>
    <definedName name="solver_rhs678" localSheetId="3" hidden="1">integer</definedName>
    <definedName name="solver_rhs679" localSheetId="3" hidden="1">integer</definedName>
    <definedName name="solver_rhs68" localSheetId="3" hidden="1">40</definedName>
    <definedName name="solver_rhs68" localSheetId="0" hidden="1">integer</definedName>
    <definedName name="solver_rhs680" localSheetId="3" hidden="1">integer</definedName>
    <definedName name="solver_rhs681" localSheetId="3" hidden="1">integer</definedName>
    <definedName name="solver_rhs682" localSheetId="3" hidden="1">integer</definedName>
    <definedName name="solver_rhs683" localSheetId="3" hidden="1">integer</definedName>
    <definedName name="solver_rhs684" localSheetId="3" hidden="1">integer</definedName>
    <definedName name="solver_rhs685" localSheetId="3" hidden="1">'Reverse 2'!$C$1</definedName>
    <definedName name="solver_rhs686" localSheetId="3" hidden="1">integer</definedName>
    <definedName name="solver_rhs687" localSheetId="3" hidden="1">'Reverse 2'!$C$1</definedName>
    <definedName name="solver_rhs688" localSheetId="3" hidden="1">integer</definedName>
    <definedName name="solver_rhs689" localSheetId="3" hidden="1">'Reverse 2'!$C$1</definedName>
    <definedName name="solver_rhs69" localSheetId="3" hidden="1">40</definedName>
    <definedName name="solver_rhs69" localSheetId="0" hidden="1">integer</definedName>
    <definedName name="solver_rhs690" localSheetId="3" hidden="1">integer</definedName>
    <definedName name="solver_rhs691" localSheetId="3" hidden="1">'Reverse 2'!$C$1</definedName>
    <definedName name="solver_rhs692" localSheetId="3" hidden="1">integer</definedName>
    <definedName name="solver_rhs693" localSheetId="3" hidden="1">'Reverse 2'!$C$1</definedName>
    <definedName name="solver_rhs694" localSheetId="3" hidden="1">'Reverse 2'!$C$1</definedName>
    <definedName name="solver_rhs695" localSheetId="3" hidden="1">integer</definedName>
    <definedName name="solver_rhs696" localSheetId="3" hidden="1">'Reverse 2'!$C$1</definedName>
    <definedName name="solver_rhs697" localSheetId="3" hidden="1">integer</definedName>
    <definedName name="solver_rhs698" localSheetId="3" hidden="1">'Reverse 2'!$C$1</definedName>
    <definedName name="solver_rhs699" localSheetId="3" hidden="1">'Reverse 2'!$C$1</definedName>
    <definedName name="solver_rhs7" localSheetId="3" hidden="1">integer</definedName>
    <definedName name="solver_rhs7" localSheetId="0" hidden="1">800</definedName>
    <definedName name="solver_rhs70" localSheetId="3" hidden="1">40</definedName>
    <definedName name="solver_rhs70" localSheetId="0" hidden="1">UserForm!$C$1</definedName>
    <definedName name="solver_rhs700" localSheetId="3" hidden="1">integer</definedName>
    <definedName name="solver_rhs701" localSheetId="3" hidden="1">'Reverse 2'!$C$1</definedName>
    <definedName name="solver_rhs702" localSheetId="3" hidden="1">integer</definedName>
    <definedName name="solver_rhs703" localSheetId="3" hidden="1">'Reverse 2'!$C$1</definedName>
    <definedName name="solver_rhs704" localSheetId="3" hidden="1">integer</definedName>
    <definedName name="solver_rhs705" localSheetId="3" hidden="1">'Reverse 2'!$C$1</definedName>
    <definedName name="solver_rhs706" localSheetId="3" hidden="1">'Reverse 2'!$C$1</definedName>
    <definedName name="solver_rhs707" localSheetId="3" hidden="1">integer</definedName>
    <definedName name="solver_rhs708" localSheetId="3" hidden="1">'Reverse 2'!$C$1</definedName>
    <definedName name="solver_rhs709" localSheetId="3" hidden="1">integer</definedName>
    <definedName name="solver_rhs71" localSheetId="3" hidden="1">40</definedName>
    <definedName name="solver_rhs71" localSheetId="0" hidden="1">40</definedName>
    <definedName name="solver_rhs710" localSheetId="3" hidden="1">'Reverse 2'!$C$1</definedName>
    <definedName name="solver_rhs711" localSheetId="3" hidden="1">integer</definedName>
    <definedName name="solver_rhs712" localSheetId="3" hidden="1">'Reverse 2'!$C$1</definedName>
    <definedName name="solver_rhs713" localSheetId="3" hidden="1">'Reverse 2'!$C$1</definedName>
    <definedName name="solver_rhs714" localSheetId="3" hidden="1">'Reverse 2'!$C$1</definedName>
    <definedName name="solver_rhs715" localSheetId="3" hidden="1">'Reverse 2'!$C$1</definedName>
    <definedName name="solver_rhs716" localSheetId="3" hidden="1">'Reverse 2'!$C$1</definedName>
    <definedName name="solver_rhs717" localSheetId="3" hidden="1">'Reverse 2'!$C$1</definedName>
    <definedName name="solver_rhs718" localSheetId="3" hidden="1">'Reverse 2'!$C$1</definedName>
    <definedName name="solver_rhs719" localSheetId="3" hidden="1">'Reverse 2'!$C$1</definedName>
    <definedName name="solver_rhs72" localSheetId="3" hidden="1">40</definedName>
    <definedName name="solver_rhs72" localSheetId="0" hidden="1">40</definedName>
    <definedName name="solver_rhs720" localSheetId="3" hidden="1">'Reverse 2'!$C$1</definedName>
    <definedName name="solver_rhs721" localSheetId="3" hidden="1">'Reverse 2'!$C$1</definedName>
    <definedName name="solver_rhs722" localSheetId="3" hidden="1">'Reverse 2'!$C$1</definedName>
    <definedName name="solver_rhs723" localSheetId="3" hidden="1">'Reverse 2'!$C$1</definedName>
    <definedName name="solver_rhs724" localSheetId="3" hidden="1">'Reverse 2'!$C$1</definedName>
    <definedName name="solver_rhs725" localSheetId="3" hidden="1">'Reverse 2'!$C$1</definedName>
    <definedName name="solver_rhs726" localSheetId="3" hidden="1">'Reverse 2'!$C$1</definedName>
    <definedName name="solver_rhs727" localSheetId="3" hidden="1">'Reverse 2'!$C$1</definedName>
    <definedName name="solver_rhs728" localSheetId="3" hidden="1">'Reverse 2'!$C$1</definedName>
    <definedName name="solver_rhs729" localSheetId="3" hidden="1">'Reverse 2'!$C$1</definedName>
    <definedName name="solver_rhs73" localSheetId="3" hidden="1">40</definedName>
    <definedName name="solver_rhs73" localSheetId="0" hidden="1">800</definedName>
    <definedName name="solver_rhs730" localSheetId="3" hidden="1">'Reverse 2'!$C$1</definedName>
    <definedName name="solver_rhs731" localSheetId="3" hidden="1">'Reverse 2'!$C$1</definedName>
    <definedName name="solver_rhs732" localSheetId="3" hidden="1">'Reverse 2'!$C$1</definedName>
    <definedName name="solver_rhs733" localSheetId="3" hidden="1">'Reverse 2'!$C$1</definedName>
    <definedName name="solver_rhs734" localSheetId="3" hidden="1">'Reverse 2'!$C$1</definedName>
    <definedName name="solver_rhs735" localSheetId="3" hidden="1">'Reverse 2'!$C$1</definedName>
    <definedName name="solver_rhs736" localSheetId="3" hidden="1">'Reverse 2'!$C$1</definedName>
    <definedName name="solver_rhs737" localSheetId="3" hidden="1">'Reverse 2'!$C$1</definedName>
    <definedName name="solver_rhs738" localSheetId="3" hidden="1">'Reverse 2'!$C$1</definedName>
    <definedName name="solver_rhs739" localSheetId="3" hidden="1">'Reverse 2'!$C$1</definedName>
    <definedName name="solver_rhs74" localSheetId="3" hidden="1">40</definedName>
    <definedName name="solver_rhs74" localSheetId="0" hidden="1">integer</definedName>
    <definedName name="solver_rhs740" localSheetId="3" hidden="1">'Reverse 2'!$C$1</definedName>
    <definedName name="solver_rhs741" localSheetId="3" hidden="1">'Reverse 2'!$C$1</definedName>
    <definedName name="solver_rhs742" localSheetId="3" hidden="1">'Reverse 2'!$C$1</definedName>
    <definedName name="solver_rhs743" localSheetId="3" hidden="1">'Reverse 2'!$C$1</definedName>
    <definedName name="solver_rhs744" localSheetId="3" hidden="1">'Reverse 2'!$C$1</definedName>
    <definedName name="solver_rhs745" localSheetId="3" hidden="1">'Reverse 2'!$C$1</definedName>
    <definedName name="solver_rhs746" localSheetId="3" hidden="1">'Reverse 2'!$C$1</definedName>
    <definedName name="solver_rhs747" localSheetId="3" hidden="1">'Reverse 2'!$C$1</definedName>
    <definedName name="solver_rhs748" localSheetId="3" hidden="1">'Reverse 2'!$C$1</definedName>
    <definedName name="solver_rhs749" localSheetId="3" hidden="1">'Reverse 2'!$C$1</definedName>
    <definedName name="solver_rhs75" localSheetId="3" hidden="1">40</definedName>
    <definedName name="solver_rhs75" localSheetId="0" hidden="1">integer</definedName>
    <definedName name="solver_rhs750" localSheetId="3" hidden="1">'Reverse 2'!$C$1</definedName>
    <definedName name="solver_rhs751" localSheetId="3" hidden="1">'Reverse 2'!$C$1</definedName>
    <definedName name="solver_rhs752" localSheetId="3" hidden="1">'Reverse 2'!$C$1</definedName>
    <definedName name="solver_rhs753" localSheetId="3" hidden="1">'Reverse 2'!$C$1</definedName>
    <definedName name="solver_rhs754" localSheetId="3" hidden="1">'Reverse 2'!$C$1</definedName>
    <definedName name="solver_rhs755" localSheetId="3" hidden="1">'Reverse 2'!$C$1</definedName>
    <definedName name="solver_rhs756" localSheetId="3" hidden="1">'Reverse 2'!$C$1</definedName>
    <definedName name="solver_rhs757" localSheetId="3" hidden="1">'Reverse 2'!$C$1</definedName>
    <definedName name="solver_rhs758" localSheetId="3" hidden="1">'Reverse 2'!$C$1</definedName>
    <definedName name="solver_rhs759" localSheetId="3" hidden="1">'Reverse 2'!$C$1</definedName>
    <definedName name="solver_rhs76" localSheetId="3" hidden="1">40</definedName>
    <definedName name="solver_rhs76" localSheetId="0" hidden="1">integer</definedName>
    <definedName name="solver_rhs760" localSheetId="3" hidden="1">'Reverse 2'!$C$1</definedName>
    <definedName name="solver_rhs761" localSheetId="3" hidden="1">'Reverse 2'!$C$1</definedName>
    <definedName name="solver_rhs762" localSheetId="3" hidden="1">'Reverse 2'!$C$1</definedName>
    <definedName name="solver_rhs763" localSheetId="3" hidden="1">'Reverse 2'!$C$1</definedName>
    <definedName name="solver_rhs764" localSheetId="3" hidden="1">'Reverse 2'!$C$1</definedName>
    <definedName name="solver_rhs765" localSheetId="3" hidden="1">'Reverse 2'!$C$1</definedName>
    <definedName name="solver_rhs766" localSheetId="3" hidden="1">'Reverse 2'!$C$1</definedName>
    <definedName name="solver_rhs767" localSheetId="3" hidden="1">'Reverse 2'!$C$1</definedName>
    <definedName name="solver_rhs768" localSheetId="3" hidden="1">'Reverse 2'!$C$1</definedName>
    <definedName name="solver_rhs769" localSheetId="3" hidden="1">'Reverse 2'!$C$1</definedName>
    <definedName name="solver_rhs77" localSheetId="3" hidden="1">40</definedName>
    <definedName name="solver_rhs77" localSheetId="0" hidden="1">UserForm!$C$1</definedName>
    <definedName name="solver_rhs770" localSheetId="3" hidden="1">'Reverse 2'!$C$1</definedName>
    <definedName name="solver_rhs771" localSheetId="3" hidden="1">'Reverse 2'!$C$1</definedName>
    <definedName name="solver_rhs772" localSheetId="3" hidden="1">'Reverse 2'!$C$1</definedName>
    <definedName name="solver_rhs773" localSheetId="3" hidden="1">'Reverse 2'!$C$1</definedName>
    <definedName name="solver_rhs774" localSheetId="3" hidden="1">'Reverse 2'!$C$1</definedName>
    <definedName name="solver_rhs775" localSheetId="3" hidden="1">'Reverse 2'!$C$1</definedName>
    <definedName name="solver_rhs776" localSheetId="3" hidden="1">'Reverse 2'!$C$1</definedName>
    <definedName name="solver_rhs777" localSheetId="3" hidden="1">'Reverse 2'!$C$1</definedName>
    <definedName name="solver_rhs778" localSheetId="3" hidden="1">'Reverse 2'!$C$1</definedName>
    <definedName name="solver_rhs779" localSheetId="3" hidden="1">'Reverse 2'!$C$1</definedName>
    <definedName name="solver_rhs78" localSheetId="3" hidden="1">40</definedName>
    <definedName name="solver_rhs78" localSheetId="0" hidden="1">40</definedName>
    <definedName name="solver_rhs780" localSheetId="3" hidden="1">'Reverse 2'!$C$1</definedName>
    <definedName name="solver_rhs781" localSheetId="3" hidden="1">'Reverse 2'!$C$1</definedName>
    <definedName name="solver_rhs782" localSheetId="3" hidden="1">'Reverse 2'!$C$1</definedName>
    <definedName name="solver_rhs783" localSheetId="3" hidden="1">'Reverse 2'!$C$1</definedName>
    <definedName name="solver_rhs784" localSheetId="3" hidden="1">'Reverse 2'!$C$1</definedName>
    <definedName name="solver_rhs785" localSheetId="3" hidden="1">'Reverse 2'!$C$1</definedName>
    <definedName name="solver_rhs786" localSheetId="3" hidden="1">'Reverse 2'!$C$1</definedName>
    <definedName name="solver_rhs787" localSheetId="3" hidden="1">'Reverse 2'!$C$1</definedName>
    <definedName name="solver_rhs788" localSheetId="3" hidden="1">'Reverse 2'!$C$1</definedName>
    <definedName name="solver_rhs789" localSheetId="3" hidden="1">'Reverse 2'!$C$1</definedName>
    <definedName name="solver_rhs79" localSheetId="3" hidden="1">40</definedName>
    <definedName name="solver_rhs79" localSheetId="0" hidden="1">40</definedName>
    <definedName name="solver_rhs790" localSheetId="3" hidden="1">'Reverse 2'!$C$1</definedName>
    <definedName name="solver_rhs791" localSheetId="3" hidden="1">'Reverse 2'!$C$1</definedName>
    <definedName name="solver_rhs792" localSheetId="3" hidden="1">'Reverse 2'!$C$1</definedName>
    <definedName name="solver_rhs793" localSheetId="3" hidden="1">'Reverse 2'!$C$1</definedName>
    <definedName name="solver_rhs794" localSheetId="3" hidden="1">'Reverse 2'!$C$1</definedName>
    <definedName name="solver_rhs795" localSheetId="3" hidden="1">'Reverse 2'!$C$1</definedName>
    <definedName name="solver_rhs796" localSheetId="3" hidden="1">'Reverse 2'!$C$1</definedName>
    <definedName name="solver_rhs797" localSheetId="3" hidden="1">'Reverse 2'!$C$1</definedName>
    <definedName name="solver_rhs798" localSheetId="3" hidden="1">'Reverse 2'!$C$1</definedName>
    <definedName name="solver_rhs799" localSheetId="3" hidden="1">'Reverse 2'!$C$1</definedName>
    <definedName name="solver_rhs8" localSheetId="3" hidden="1">integer</definedName>
    <definedName name="solver_rhs8" localSheetId="0" hidden="1">UserForm!$C$1</definedName>
    <definedName name="solver_rhs80" localSheetId="3" hidden="1">40</definedName>
    <definedName name="solver_rhs80" localSheetId="0" hidden="1">800</definedName>
    <definedName name="solver_rhs800" localSheetId="3" hidden="1">'Reverse 2'!$C$1</definedName>
    <definedName name="solver_rhs801" localSheetId="3" hidden="1">'Reverse 2'!$C$1</definedName>
    <definedName name="solver_rhs802" localSheetId="3" hidden="1">'Reverse 2'!$C$1</definedName>
    <definedName name="solver_rhs803" localSheetId="3" hidden="1">'Reverse 2'!$C$1</definedName>
    <definedName name="solver_rhs804" localSheetId="3" hidden="1">'Reverse 2'!$C$1</definedName>
    <definedName name="solver_rhs805" localSheetId="3" hidden="1">'Reverse 2'!$C$1</definedName>
    <definedName name="solver_rhs806" localSheetId="3" hidden="1">'Reverse 2'!$C$1</definedName>
    <definedName name="solver_rhs807" localSheetId="3" hidden="1">'Reverse 2'!$C$1</definedName>
    <definedName name="solver_rhs808" localSheetId="3" hidden="1">'Reverse 2'!$C$1</definedName>
    <definedName name="solver_rhs809" localSheetId="3" hidden="1">'Reverse 2'!$C$1</definedName>
    <definedName name="solver_rhs81" localSheetId="3" hidden="1">40</definedName>
    <definedName name="solver_rhs81" localSheetId="0" hidden="1">integer</definedName>
    <definedName name="solver_rhs810" localSheetId="3" hidden="1">'Reverse 2'!$C$1</definedName>
    <definedName name="solver_rhs811" localSheetId="3" hidden="1">'Reverse 2'!$C$1</definedName>
    <definedName name="solver_rhs812" localSheetId="3" hidden="1">'Reverse 2'!$C$1</definedName>
    <definedName name="solver_rhs82" localSheetId="3" hidden="1">40</definedName>
    <definedName name="solver_rhs82" localSheetId="0" hidden="1">integer</definedName>
    <definedName name="solver_rhs83" localSheetId="3" hidden="1">40</definedName>
    <definedName name="solver_rhs83" localSheetId="0" hidden="1">integer</definedName>
    <definedName name="solver_rhs84" localSheetId="3" hidden="1">40</definedName>
    <definedName name="solver_rhs84" localSheetId="0" hidden="1">UserForm!$C$1</definedName>
    <definedName name="solver_rhs85" localSheetId="3" hidden="1">40</definedName>
    <definedName name="solver_rhs85" localSheetId="0" hidden="1">40</definedName>
    <definedName name="solver_rhs86" localSheetId="3" hidden="1">40</definedName>
    <definedName name="solver_rhs86" localSheetId="0" hidden="1">40</definedName>
    <definedName name="solver_rhs87" localSheetId="3" hidden="1">40</definedName>
    <definedName name="solver_rhs87" localSheetId="0" hidden="1">800</definedName>
    <definedName name="solver_rhs88" localSheetId="3" hidden="1">40</definedName>
    <definedName name="solver_rhs88" localSheetId="0" hidden="1">integer</definedName>
    <definedName name="solver_rhs89" localSheetId="3" hidden="1">40</definedName>
    <definedName name="solver_rhs89" localSheetId="0" hidden="1">integer</definedName>
    <definedName name="solver_rhs9" localSheetId="3" hidden="1">integer</definedName>
    <definedName name="solver_rhs9" localSheetId="0" hidden="1">40</definedName>
    <definedName name="solver_rhs90" localSheetId="3" hidden="1">40</definedName>
    <definedName name="solver_rhs90" localSheetId="0" hidden="1">integer</definedName>
    <definedName name="solver_rhs91" localSheetId="3" hidden="1">40</definedName>
    <definedName name="solver_rhs91" localSheetId="0" hidden="1">UserForm!$C$1</definedName>
    <definedName name="solver_rhs92" localSheetId="3" hidden="1">40</definedName>
    <definedName name="solver_rhs92" localSheetId="0" hidden="1">40</definedName>
    <definedName name="solver_rhs93" localSheetId="3" hidden="1">40</definedName>
    <definedName name="solver_rhs93" localSheetId="0" hidden="1">40</definedName>
    <definedName name="solver_rhs94" localSheetId="3" hidden="1">40</definedName>
    <definedName name="solver_rhs94" localSheetId="0" hidden="1">800</definedName>
    <definedName name="solver_rhs95" localSheetId="3" hidden="1">40</definedName>
    <definedName name="solver_rhs95" localSheetId="0" hidden="1">integer</definedName>
    <definedName name="solver_rhs96" localSheetId="3" hidden="1">40</definedName>
    <definedName name="solver_rhs96" localSheetId="0" hidden="1">integer</definedName>
    <definedName name="solver_rhs97" localSheetId="3" hidden="1">40</definedName>
    <definedName name="solver_rhs97" localSheetId="0" hidden="1">integer</definedName>
    <definedName name="solver_rhs98" localSheetId="3" hidden="1">40</definedName>
    <definedName name="solver_rhs98" localSheetId="0" hidden="1">UserForm!$C$1</definedName>
    <definedName name="solver_rhs99" localSheetId="3" hidden="1">40</definedName>
    <definedName name="solver_rhs99" localSheetId="0" hidden="1">40</definedName>
    <definedName name="solver_rlx" localSheetId="2" hidden="1">2</definedName>
    <definedName name="solver_rlx" localSheetId="3" hidden="1">2</definedName>
    <definedName name="solver_rsd" localSheetId="2" hidden="1">0</definedName>
    <definedName name="solver_rsd" localSheetId="3" hidden="1">0</definedName>
    <definedName name="solver_scl" localSheetId="2" hidden="1">1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2" hidden="1">100</definedName>
    <definedName name="solver_ssz" localSheetId="3" hidden="1">100</definedName>
    <definedName name="solver_tim" localSheetId="2" hidden="1">2147483647</definedName>
    <definedName name="solver_tim" localSheetId="3" hidden="1">2147483647</definedName>
    <definedName name="solver_tol" localSheetId="2" hidden="1">0.01</definedName>
    <definedName name="solver_tol" localSheetId="3" hidden="1">0.01</definedName>
    <definedName name="solver_typ" localSheetId="2" hidden="1">1</definedName>
    <definedName name="solver_typ" localSheetId="3" hidden="1">1</definedName>
    <definedName name="solver_typ" localSheetId="0" hidden="1">1</definedName>
    <definedName name="solver_val" localSheetId="2" hidden="1">0</definedName>
    <definedName name="solver_val" localSheetId="3" hidden="1">0</definedName>
    <definedName name="solver_val" localSheetId="0" hidden="1">0</definedName>
    <definedName name="solver_ver" localSheetId="2" hidden="1">3</definedName>
    <definedName name="solver_ver" localSheetId="3" hidden="1">3</definedName>
    <definedName name="solver_ver" localSheetId="0" hidden="1">3</definedName>
    <definedName name="Writing">Reverse[Writing]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AT" name="SAT" connection="WorksheetConnection_SAT score calculator.xlsx!SAT"/>
          <x15:modelTable id="Score" name="Score" connection="WorksheetConnection_SAT score calculator.xlsm!Score"/>
          <x15:modelTable id="SAT_7" name="SAT_7" connection="WorksheetConnection_SAT score calculator.xlsm!SAT_7"/>
          <x15:modelTable id="SAT_6" name="SAT_6" connection="WorksheetConnection_SAT score calculator.xlsm!SAT_6"/>
          <x15:modelTable id="SAT_5" name="SAT_5" connection="WorksheetConnection_SAT score calculator.xlsm!SAT_5"/>
          <x15:modelTable id="SAT_4" name="SAT_4" connection="WorksheetConnection_SAT score calculator.xlsm!SAT_4"/>
          <x15:modelTable id="SAT_2" name="SAT_2" connection="WorksheetConnection_SAT score calculator.xlsm!SAT_2"/>
        </x15:modelTables>
        <x15:modelRelationships>
          <x15:modelRelationship fromTable="Score" fromColumn="Reading" toTable="SAT_2" toColumn="Raw Scor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4" i="15" l="1"/>
  <c r="N8" i="15"/>
  <c r="N7" i="15"/>
  <c r="N6" i="15"/>
  <c r="N5" i="15"/>
  <c r="N4" i="15"/>
  <c r="L8" i="15"/>
  <c r="L7" i="15"/>
  <c r="L6" i="15"/>
  <c r="L5" i="15"/>
  <c r="L4" i="15"/>
  <c r="H8" i="15"/>
  <c r="H7" i="15"/>
  <c r="H6" i="15"/>
  <c r="H5" i="15"/>
  <c r="H4" i="15"/>
  <c r="J8" i="15"/>
  <c r="J7" i="15"/>
  <c r="J6" i="15"/>
  <c r="J5" i="15"/>
  <c r="J4" i="15"/>
  <c r="I15" i="15" l="1"/>
  <c r="G2" i="12" l="1"/>
  <c r="H2" i="12"/>
  <c r="F2" i="12"/>
  <c r="M7" i="15" l="1"/>
  <c r="M6" i="15"/>
  <c r="K7" i="15"/>
  <c r="K6" i="15"/>
  <c r="I7" i="15"/>
  <c r="I6" i="15"/>
  <c r="G7" i="15"/>
  <c r="G6" i="15"/>
  <c r="M4" i="15" l="1"/>
  <c r="M8" i="15"/>
  <c r="M5" i="15"/>
  <c r="K8" i="15" l="1"/>
  <c r="K5" i="15"/>
  <c r="K4" i="15"/>
  <c r="I4" i="15"/>
  <c r="I8" i="15"/>
  <c r="I5" i="15"/>
  <c r="G8" i="15"/>
  <c r="G5" i="15"/>
  <c r="G4" i="15"/>
  <c r="C7" i="13" l="1"/>
  <c r="C72" i="15" l="1"/>
  <c r="C59" i="15" l="1"/>
  <c r="C44" i="15"/>
  <c r="C26" i="15"/>
  <c r="C8" i="15"/>
  <c r="C10" i="15"/>
  <c r="C9" i="15"/>
  <c r="I2" i="12" l="1"/>
  <c r="J2" i="12" s="1"/>
  <c r="J15" i="15" l="1"/>
  <c r="J14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Score_report" description="Connection to the 'Score_report' query in the workbook." type="5" refreshedVersion="6" background="1" saveData="1">
    <dbPr connection="Provider=Microsoft.Mashup.OleDb.1;Data Source=$Workbook$;Location=Score_report;Extended Properties=&quot;&quot;" command="SELECT * FROM [Score_report]"/>
  </connection>
  <connection id="2" xr16:uid="{00000000-0015-0000-FFFF-FFFF01000000}" keepAlive="1" name="Query - Score_report2" description="Connection to the 'Score_report2' query in the workbook." type="5" refreshedVersion="6" background="1" saveData="1">
    <dbPr connection="Provider=Microsoft.Mashup.OleDb.1;Data Source=$Workbook$;Location=Score_report2;Extended Properties=&quot;&quot;" command="SELECT * FROM [Score_report2]"/>
  </connection>
  <connection id="3" xr16:uid="{00000000-0015-0000-FFFF-FFFF02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00000000-0015-0000-FFFF-FFFF03000000}" name="WorksheetConnection_SAT score calculator.xlsm!SAT_2" type="102" refreshedVersion="6" minRefreshableVersion="5">
    <extLst>
      <ext xmlns:x15="http://schemas.microsoft.com/office/spreadsheetml/2010/11/main" uri="{DE250136-89BD-433C-8126-D09CA5730AF9}">
        <x15:connection id="SAT_2">
          <x15:rangePr sourceName="_xlcn.WorksheetConnection_SATscorecalculator.xlsmSAT_21"/>
        </x15:connection>
      </ext>
    </extLst>
  </connection>
  <connection id="5" xr16:uid="{00000000-0015-0000-FFFF-FFFF04000000}" name="WorksheetConnection_SAT score calculator.xlsm!SAT_4" type="102" refreshedVersion="6" minRefreshableVersion="5">
    <extLst>
      <ext xmlns:x15="http://schemas.microsoft.com/office/spreadsheetml/2010/11/main" uri="{DE250136-89BD-433C-8126-D09CA5730AF9}">
        <x15:connection id="SAT_4">
          <x15:rangePr sourceName="_xlcn.WorksheetConnection_SATscorecalculator.xlsmSAT_41"/>
        </x15:connection>
      </ext>
    </extLst>
  </connection>
  <connection id="6" xr16:uid="{00000000-0015-0000-FFFF-FFFF05000000}" name="WorksheetConnection_SAT score calculator.xlsm!SAT_5" type="102" refreshedVersion="6" minRefreshableVersion="5">
    <extLst>
      <ext xmlns:x15="http://schemas.microsoft.com/office/spreadsheetml/2010/11/main" uri="{DE250136-89BD-433C-8126-D09CA5730AF9}">
        <x15:connection id="SAT_5">
          <x15:rangePr sourceName="_xlcn.WorksheetConnection_SATscorecalculator.xlsmSAT_51"/>
        </x15:connection>
      </ext>
    </extLst>
  </connection>
  <connection id="7" xr16:uid="{00000000-0015-0000-FFFF-FFFF06000000}" name="WorksheetConnection_SAT score calculator.xlsm!SAT_6" type="102" refreshedVersion="6" minRefreshableVersion="5">
    <extLst>
      <ext xmlns:x15="http://schemas.microsoft.com/office/spreadsheetml/2010/11/main" uri="{DE250136-89BD-433C-8126-D09CA5730AF9}">
        <x15:connection id="SAT_6">
          <x15:rangePr sourceName="_xlcn.WorksheetConnection_SATscorecalculator.xlsmSAT_61"/>
        </x15:connection>
      </ext>
    </extLst>
  </connection>
  <connection id="8" xr16:uid="{00000000-0015-0000-FFFF-FFFF07000000}" name="WorksheetConnection_SAT score calculator.xlsm!SAT_7" type="102" refreshedVersion="6" minRefreshableVersion="5">
    <extLst>
      <ext xmlns:x15="http://schemas.microsoft.com/office/spreadsheetml/2010/11/main" uri="{DE250136-89BD-433C-8126-D09CA5730AF9}">
        <x15:connection id="SAT_7">
          <x15:rangePr sourceName="_xlcn.WorksheetConnection_SATscorecalculator.xlsmSAT_71"/>
        </x15:connection>
      </ext>
    </extLst>
  </connection>
  <connection id="9" xr16:uid="{00000000-0015-0000-FFFF-FFFF08000000}" name="WorksheetConnection_SAT score calculator.xlsm!Score" type="102" refreshedVersion="6" minRefreshableVersion="5">
    <extLst>
      <ext xmlns:x15="http://schemas.microsoft.com/office/spreadsheetml/2010/11/main" uri="{DE250136-89BD-433C-8126-D09CA5730AF9}">
        <x15:connection id="Score">
          <x15:rangePr sourceName="_xlcn.WorksheetConnection_SATscorecalculator.xlsmScore1"/>
        </x15:connection>
      </ext>
    </extLst>
  </connection>
  <connection id="10" xr16:uid="{00000000-0015-0000-FFFF-FFFF09000000}" name="WorksheetConnection_SAT score calculator.xlsx!SAT" type="102" refreshedVersion="6" minRefreshableVersion="5">
    <extLst>
      <ext xmlns:x15="http://schemas.microsoft.com/office/spreadsheetml/2010/11/main" uri="{DE250136-89BD-433C-8126-D09CA5730AF9}">
        <x15:connection id="SAT">
          <x15:rangePr sourceName="_xlcn.WorksheetConnection_SATscorecalculator.xlsxSAT1"/>
        </x15:connection>
      </ext>
    </extLst>
  </connection>
</connections>
</file>

<file path=xl/sharedStrings.xml><?xml version="1.0" encoding="utf-8"?>
<sst xmlns="http://schemas.openxmlformats.org/spreadsheetml/2006/main" count="129" uniqueCount="47">
  <si>
    <t>Math with AND without Calc</t>
  </si>
  <si>
    <t>Reading</t>
  </si>
  <si>
    <t>Writing</t>
  </si>
  <si>
    <t>SAT Practice Test Number</t>
  </si>
  <si>
    <t>Reading Weighted Score</t>
  </si>
  <si>
    <t>Writing Weighted Score</t>
  </si>
  <si>
    <t>Math with Calc</t>
  </si>
  <si>
    <t>Math without Calc</t>
  </si>
  <si>
    <t>Overall</t>
  </si>
  <si>
    <t>Math Wighted Score</t>
  </si>
  <si>
    <t>Constraint:</t>
  </si>
  <si>
    <t>Math Weighted Score</t>
  </si>
  <si>
    <t>Select 2 Practice Test Numbers</t>
  </si>
  <si>
    <t>5</t>
  </si>
  <si>
    <t>4</t>
  </si>
  <si>
    <t>Score Summary</t>
  </si>
  <si>
    <t>Number of reading + writing scores over Benchmark for test 4:</t>
  </si>
  <si>
    <t>Number of reading + writing scores over Benchmark for test 6:</t>
  </si>
  <si>
    <t>% of the scores I have</t>
  </si>
  <si>
    <t>Avearge Overall Score</t>
  </si>
  <si>
    <t>Max Overall Score</t>
  </si>
  <si>
    <t>Min Overall Score</t>
  </si>
  <si>
    <t>SAT_Practice_Test_Number</t>
  </si>
  <si>
    <t>Math_without_Calc</t>
  </si>
  <si>
    <t>Math_with_Calc</t>
  </si>
  <si>
    <t>Raw_Score</t>
  </si>
  <si>
    <t>Math_with_AND_without_Calc</t>
  </si>
  <si>
    <t>Practice_Test_Number</t>
  </si>
  <si>
    <t>Select SAT Practice Test No:</t>
  </si>
  <si>
    <t>Reading Score:</t>
  </si>
  <si>
    <t>Writing Score:</t>
  </si>
  <si>
    <t>Math Without Calc Score:</t>
  </si>
  <si>
    <t>Math with Calc Score:</t>
  </si>
  <si>
    <t>7</t>
  </si>
  <si>
    <t>2</t>
  </si>
  <si>
    <t>6</t>
  </si>
  <si>
    <t>1</t>
  </si>
  <si>
    <t>3</t>
  </si>
  <si>
    <t>8</t>
  </si>
  <si>
    <t>9</t>
  </si>
  <si>
    <t>10</t>
  </si>
  <si>
    <t>Column1</t>
  </si>
  <si>
    <t>Column2</t>
  </si>
  <si>
    <t>Column3</t>
  </si>
  <si>
    <t>Column4</t>
  </si>
  <si>
    <t>Column5</t>
  </si>
  <si>
    <t>Column6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</si>
</sst>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6"/>
      <color rgb="FF000000"/>
      <name val="Calibri"/>
      <family val="2"/>
    </font>
    <font>
      <b/>
      <sz val="14"/>
      <name val="Calibri"/>
      <family val="2"/>
      <scheme val="minor"/>
    </font>
    <font>
      <sz val="2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theme="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4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2" borderId="0" applyNumberFormat="0" applyAlignment="0" applyProtection="0"/>
    <xf numFmtId="0" fontId="4" fillId="0" borderId="0" applyNumberFormat="0" applyFill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</cellStyleXfs>
  <cellXfs count="55">
    <xf numFmtId="0" fontId="0" fillId="0" borderId="0" xfId="0"/>
    <xf numFmtId="0" fontId="2" fillId="3" borderId="0" xfId="0" applyFont="1" applyFill="1" applyBorder="1"/>
    <xf numFmtId="0" fontId="3" fillId="0" borderId="0" xfId="0" applyFont="1" applyAlignment="1"/>
    <xf numFmtId="0" fontId="3" fillId="0" borderId="0" xfId="0" applyFont="1" applyAlignment="1">
      <alignment vertical="center"/>
    </xf>
    <xf numFmtId="1" fontId="0" fillId="0" borderId="0" xfId="0" applyNumberFormat="1"/>
    <xf numFmtId="0" fontId="4" fillId="0" borderId="0" xfId="2"/>
    <xf numFmtId="0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6" borderId="4" xfId="4" applyFont="1" applyBorder="1" applyAlignment="1">
      <alignment horizontal="center" vertical="center" wrapText="1"/>
    </xf>
    <xf numFmtId="0" fontId="8" fillId="7" borderId="5" xfId="5" applyFont="1" applyBorder="1" applyAlignment="1">
      <alignment horizontal="center" vertical="center"/>
    </xf>
    <xf numFmtId="0" fontId="7" fillId="6" borderId="5" xfId="4" applyFont="1" applyBorder="1" applyAlignment="1">
      <alignment horizontal="center" vertical="center" wrapText="1"/>
    </xf>
    <xf numFmtId="1" fontId="8" fillId="7" borderId="11" xfId="5" applyNumberFormat="1" applyFont="1" applyBorder="1" applyAlignment="1">
      <alignment horizontal="center" vertical="center"/>
    </xf>
    <xf numFmtId="0" fontId="7" fillId="5" borderId="6" xfId="3" applyFont="1" applyBorder="1" applyAlignment="1">
      <alignment horizontal="center" vertical="center" wrapText="1"/>
    </xf>
    <xf numFmtId="0" fontId="8" fillId="7" borderId="0" xfId="5" applyFont="1" applyBorder="1" applyAlignment="1">
      <alignment horizontal="center" vertical="center"/>
    </xf>
    <xf numFmtId="0" fontId="7" fillId="5" borderId="0" xfId="3" applyFont="1" applyBorder="1" applyAlignment="1">
      <alignment horizontal="center" vertical="center" wrapText="1"/>
    </xf>
    <xf numFmtId="1" fontId="8" fillId="7" borderId="7" xfId="5" applyNumberFormat="1" applyFont="1" applyBorder="1" applyAlignment="1">
      <alignment horizontal="center" vertical="center"/>
    </xf>
    <xf numFmtId="0" fontId="7" fillId="0" borderId="0" xfId="0" applyNumberFormat="1" applyFont="1" applyFill="1" applyAlignment="1">
      <alignment horizontal="center"/>
    </xf>
    <xf numFmtId="0" fontId="7" fillId="6" borderId="6" xfId="4" applyFont="1" applyBorder="1" applyAlignment="1">
      <alignment horizontal="center" vertical="center" wrapText="1"/>
    </xf>
    <xf numFmtId="0" fontId="7" fillId="6" borderId="0" xfId="4" applyFont="1" applyBorder="1" applyAlignment="1">
      <alignment horizontal="center" vertical="center" wrapText="1"/>
    </xf>
    <xf numFmtId="0" fontId="7" fillId="6" borderId="8" xfId="4" applyFont="1" applyBorder="1" applyAlignment="1">
      <alignment horizontal="center" vertical="center" wrapText="1"/>
    </xf>
    <xf numFmtId="0" fontId="8" fillId="7" borderId="9" xfId="5" applyFont="1" applyBorder="1" applyAlignment="1">
      <alignment horizontal="center" vertical="center"/>
    </xf>
    <xf numFmtId="0" fontId="7" fillId="6" borderId="9" xfId="4" applyFont="1" applyBorder="1" applyAlignment="1">
      <alignment horizontal="center" vertical="center" wrapText="1"/>
    </xf>
    <xf numFmtId="0" fontId="7" fillId="0" borderId="0" xfId="0" applyFont="1" applyProtection="1"/>
    <xf numFmtId="1" fontId="8" fillId="7" borderId="10" xfId="5" applyNumberFormat="1" applyFont="1" applyBorder="1" applyAlignment="1">
      <alignment horizontal="center" vertical="center"/>
    </xf>
    <xf numFmtId="1" fontId="8" fillId="7" borderId="0" xfId="5" applyNumberFormat="1" applyFont="1" applyBorder="1" applyAlignment="1">
      <alignment horizontal="center" vertical="center"/>
    </xf>
    <xf numFmtId="1" fontId="8" fillId="7" borderId="5" xfId="5" applyNumberFormat="1" applyFont="1" applyBorder="1" applyAlignment="1">
      <alignment horizontal="center" vertical="center"/>
    </xf>
    <xf numFmtId="1" fontId="8" fillId="7" borderId="9" xfId="5" applyNumberFormat="1" applyFont="1" applyBorder="1" applyAlignment="1">
      <alignment horizontal="center" vertical="center"/>
    </xf>
    <xf numFmtId="0" fontId="1" fillId="0" borderId="0" xfId="0" applyFont="1"/>
    <xf numFmtId="0" fontId="6" fillId="7" borderId="0" xfId="5"/>
    <xf numFmtId="0" fontId="6" fillId="7" borderId="0" xfId="5" applyNumberFormat="1" applyAlignment="1">
      <alignment horizontal="center"/>
    </xf>
    <xf numFmtId="0" fontId="6" fillId="7" borderId="0" xfId="5" applyAlignment="1">
      <alignment horizontal="center"/>
    </xf>
    <xf numFmtId="0" fontId="1" fillId="0" borderId="0" xfId="0" applyFont="1" applyAlignment="1">
      <alignment wrapText="1"/>
    </xf>
    <xf numFmtId="9" fontId="1" fillId="0" borderId="0" xfId="0" applyNumberFormat="1" applyFont="1"/>
    <xf numFmtId="0" fontId="13" fillId="0" borderId="0" xfId="0" applyFont="1" applyAlignment="1">
      <alignment vertical="center" wrapText="1"/>
    </xf>
    <xf numFmtId="0" fontId="13" fillId="0" borderId="0" xfId="0" applyFont="1" applyAlignment="1">
      <alignment horizontal="right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9" fillId="7" borderId="12" xfId="5" applyFont="1" applyBorder="1" applyAlignment="1">
      <alignment horizontal="center" vertical="center"/>
    </xf>
    <xf numFmtId="0" fontId="9" fillId="7" borderId="13" xfId="5" applyFont="1" applyBorder="1" applyAlignment="1">
      <alignment horizontal="center" vertical="center"/>
    </xf>
    <xf numFmtId="0" fontId="9" fillId="7" borderId="15" xfId="5" applyFont="1" applyBorder="1" applyAlignment="1">
      <alignment horizontal="center" vertical="center"/>
    </xf>
    <xf numFmtId="0" fontId="9" fillId="7" borderId="16" xfId="5" applyFont="1" applyBorder="1" applyAlignment="1">
      <alignment horizontal="center" vertical="center"/>
    </xf>
    <xf numFmtId="0" fontId="9" fillId="7" borderId="13" xfId="5" applyFont="1" applyBorder="1" applyAlignment="1">
      <alignment horizontal="center" vertical="center" wrapText="1"/>
    </xf>
    <xf numFmtId="0" fontId="9" fillId="7" borderId="16" xfId="5" applyFont="1" applyBorder="1" applyAlignment="1">
      <alignment horizontal="center" vertical="center" wrapText="1"/>
    </xf>
    <xf numFmtId="0" fontId="3" fillId="5" borderId="13" xfId="3" applyFont="1" applyBorder="1" applyAlignment="1">
      <alignment horizontal="center" vertical="center"/>
    </xf>
    <xf numFmtId="0" fontId="3" fillId="5" borderId="16" xfId="3" applyFont="1" applyBorder="1" applyAlignment="1">
      <alignment horizontal="center" vertical="center"/>
    </xf>
    <xf numFmtId="0" fontId="3" fillId="5" borderId="14" xfId="3" applyFont="1" applyBorder="1" applyAlignment="1">
      <alignment horizontal="center" vertical="center"/>
    </xf>
    <xf numFmtId="0" fontId="3" fillId="5" borderId="17" xfId="3" applyFont="1" applyBorder="1" applyAlignment="1">
      <alignment horizontal="center" vertical="center"/>
    </xf>
    <xf numFmtId="0" fontId="10" fillId="7" borderId="0" xfId="5" applyFont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/>
    </xf>
    <xf numFmtId="49" fontId="14" fillId="8" borderId="1" xfId="4" applyNumberFormat="1" applyFont="1" applyFill="1" applyBorder="1" applyAlignment="1" applyProtection="1">
      <alignment horizontal="center" vertical="center"/>
      <protection locked="0"/>
    </xf>
    <xf numFmtId="49" fontId="14" fillId="8" borderId="3" xfId="4" applyNumberFormat="1" applyFont="1" applyFill="1" applyBorder="1" applyAlignment="1" applyProtection="1">
      <alignment horizontal="center" vertical="center"/>
      <protection locked="0"/>
    </xf>
    <xf numFmtId="49" fontId="11" fillId="4" borderId="2" xfId="4" applyNumberFormat="1" applyFont="1" applyFill="1" applyBorder="1" applyAlignment="1" applyProtection="1">
      <alignment horizontal="center" vertical="center"/>
      <protection locked="0"/>
    </xf>
    <xf numFmtId="49" fontId="11" fillId="4" borderId="3" xfId="4" applyNumberFormat="1" applyFont="1" applyFill="1" applyBorder="1" applyAlignment="1" applyProtection="1">
      <alignment horizontal="center" vertical="center"/>
      <protection locked="0"/>
    </xf>
  </cellXfs>
  <cellStyles count="6">
    <cellStyle name="20% - Accent2" xfId="3" builtinId="34"/>
    <cellStyle name="40% - Accent2" xfId="4" builtinId="35"/>
    <cellStyle name="60% - Accent2" xfId="5" builtinId="36"/>
    <cellStyle name="Accent1" xfId="1" builtinId="29" customBuiltin="1"/>
    <cellStyle name="Hyperlink" xfId="2" builtinId="8"/>
    <cellStyle name="Normal" xfId="0" builtinId="0"/>
  </cellStyles>
  <dxfs count="8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sz val="9"/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Slicer Style 1" pivot="0" table="0" count="1" xr9:uid="{00000000-0011-0000-FFFF-FFFF00000000}">
      <tableStyleElement type="headerRow" dxfId="7"/>
    </tableStyle>
    <tableStyle name="SlicerStyleLight1 2" pivot="0" table="0" count="9" xr9:uid="{00000000-0011-0000-FFFF-FFFF01000000}">
      <tableStyleElement type="wholeTable" dxfId="6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34" Type="http://schemas.openxmlformats.org/officeDocument/2006/relationships/customXml" Target="../customXml/item2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33" Type="http://schemas.openxmlformats.org/officeDocument/2006/relationships/customXml" Target="../customXml/item2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32" Type="http://schemas.openxmlformats.org/officeDocument/2006/relationships/customXml" Target="../customXml/item21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8.xml"/><Relationship Id="rId31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30" Type="http://schemas.openxmlformats.org/officeDocument/2006/relationships/customXml" Target="../customXml/item19.xml"/><Relationship Id="rId35" Type="http://schemas.microsoft.com/office/2006/relationships/vbaProject" Target="vbaProject.bin"/><Relationship Id="rId8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[0]!Chart_1</cx:f>
      </cx:numDim>
    </cx:data>
    <cx:data id="1">
      <cx:numDim type="val">
        <cx:f>[0]!Chart_2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0" tIns="0" rIns="0" bIns="0" anchor="ctr" anchorCtr="1"/>
        <a:lstStyle/>
        <a:p>
          <a:pPr algn="ctr">
            <a:defRPr lang="en-US" sz="1400" b="0" i="0" u="none" strike="noStrike" kern="1200" spc="0" baseline="0">
              <a:solidFill>
                <a:schemeClr val="bg1"/>
              </a:solidFill>
              <a:latin typeface="Calibri" panose="020F0502020204030204"/>
            </a:defRPr>
          </a:pPr>
          <a:r>
            <a:rPr lang="en-US">
              <a:solidFill>
                <a:schemeClr val="bg1"/>
              </a:solidFill>
            </a:rPr>
            <a:t>Chart Title</a:t>
          </a:r>
        </a:p>
      </cx:txPr>
    </cx:title>
    <cx:plotArea>
      <cx:plotAreaRegion>
        <cx:series layoutId="boxWhisker" uniqueId="{A2EC0F79-9553-4A9B-B620-2CD4BBBB7A1E}" formatIdx="0">
          <cx:tx>
            <cx:txData>
              <cx:f>_xlchart.v1.1</cx:f>
              <cx:v>Test 10</cx:v>
            </cx:txData>
          </cx:tx>
          <cx:dataId val="0"/>
          <cx:layoutPr>
            <cx:visibility meanLine="0" meanMarker="1" nonoutliers="0" outliers="1"/>
            <cx:statistics quartileMethod="inclusive"/>
          </cx:layoutPr>
        </cx:series>
        <cx:series layoutId="boxWhisker" hidden="1" uniqueId="{00000002-BD1D-4A9A-BA40-6B978184C4BD}" formatIdx="1">
          <cx:tx>
            <cx:txData>
              <cx:f>_xlchart.v1.0</cx:f>
              <cx:v>Test 8</cx:v>
            </cx:txData>
          </cx:tx>
          <cx:dataId val="1"/>
          <cx:layoutPr>
            <cx:visibility meanLine="0" meanMarker="1" nonoutliers="0" outliers="1"/>
            <cx:statistics quartileMethod="in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  <cx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x:spPr>
  <cx:clrMapOvr bg1="lt1" tx1="dk1" bg2="lt2" tx2="dk2" accent1="accent1" accent2="accent2" accent3="accent3" accent4="accent4" accent5="accent5" accent6="accent6" hlink="hlink" folHlink="folHlink"/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[0]!Chart_1</cx:f>
      </cx:numDim>
    </cx:data>
    <cx:data id="1">
      <cx:numDim type="val">
        <cx:f>[0]!Chart_2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0" tIns="0" rIns="0" bIns="0" anchor="ctr" anchorCtr="1"/>
        <a:lstStyle/>
        <a:p>
          <a:pPr algn="ctr">
            <a:defRPr lang="en-US" sz="1400" b="0" i="0" u="none" strike="noStrike" kern="1200" spc="0" baseline="0">
              <a:solidFill>
                <a:schemeClr val="bg1"/>
              </a:solidFill>
              <a:latin typeface="Calibri" panose="020F0502020204030204"/>
            </a:defRPr>
          </a:pPr>
          <a:r>
            <a:rPr lang="en-US">
              <a:solidFill>
                <a:schemeClr val="bg1"/>
              </a:solidFill>
            </a:rPr>
            <a:t>Chart Title</a:t>
          </a:r>
        </a:p>
      </cx:txPr>
    </cx:title>
    <cx:plotArea>
      <cx:plotAreaRegion>
        <cx:series layoutId="boxWhisker" uniqueId="{A2EC0F79-9553-4A9B-B620-2CD4BBBB7A1E}" formatIdx="0">
          <cx:tx>
            <cx:txData>
              <cx:f>_xlchart.v1.5</cx:f>
              <cx:v>Test 10</cx:v>
            </cx:txData>
          </cx:tx>
          <cx:dataId val="0"/>
          <cx:layoutPr>
            <cx:visibility meanLine="0" meanMarker="1" nonoutliers="0" outliers="1"/>
            <cx:statistics quartileMethod="inclusive"/>
          </cx:layoutPr>
        </cx:series>
        <cx:series layoutId="boxWhisker" hidden="1" uniqueId="{00000002-BD1D-4A9A-BA40-6B978184C4BD}" formatIdx="1">
          <cx:tx>
            <cx:txData>
              <cx:f>_xlchart.v1.4</cx:f>
              <cx:v>Test 8</cx:v>
            </cx:txData>
          </cx:tx>
          <cx:dataId val="1"/>
          <cx:layoutPr>
            <cx:statistics quartileMethod="in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  <cx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x:spPr>
  <cx:clrMapOvr bg1="lt1" tx1="dk1" bg2="lt2" tx2="dk2" accent1="accent1" accent2="accent2" accent3="accent3" accent4="accent4" accent5="accent5" accent6="accent6" hlink="hlink" folHlink="folHlink"/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[0]!Chart_1</cx:f>
      </cx:numDim>
    </cx:data>
    <cx:data id="1">
      <cx:numDim type="val">
        <cx:f>[0]!Chart_2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0" tIns="0" rIns="0" bIns="0" anchor="ctr" anchorCtr="1"/>
        <a:lstStyle/>
        <a:p>
          <a:pPr algn="ctr">
            <a:defRPr lang="en-US" sz="1400" b="0" i="0" u="none" strike="noStrike" kern="1200" spc="0" baseline="0">
              <a:solidFill>
                <a:schemeClr val="bg1"/>
              </a:solidFill>
              <a:latin typeface="Calibri" panose="020F0502020204030204"/>
            </a:defRPr>
          </a:pPr>
          <a:r>
            <a:rPr lang="en-US">
              <a:solidFill>
                <a:schemeClr val="bg1"/>
              </a:solidFill>
            </a:rPr>
            <a:t>Chart Title</a:t>
          </a:r>
        </a:p>
      </cx:txPr>
    </cx:title>
    <cx:plotArea>
      <cx:plotAreaRegion>
        <cx:series layoutId="boxWhisker" uniqueId="{A2EC0F79-9553-4A9B-B620-2CD4BBBB7A1E}" formatIdx="0">
          <cx:tx>
            <cx:txData>
              <cx:f>_xlchart.v1.9</cx:f>
              <cx:v>Test 10</cx:v>
            </cx:txData>
          </cx:tx>
          <cx:dataId val="0"/>
          <cx:layoutPr>
            <cx:visibility meanLine="0" meanMarker="1" nonoutliers="0" outliers="1"/>
            <cx:statistics quartileMethod="inclusive"/>
          </cx:layoutPr>
        </cx:series>
        <cx:series layoutId="boxWhisker" hidden="1" uniqueId="{00000002-BD1D-4A9A-BA40-6B978184C4BD}" formatIdx="1">
          <cx:tx>
            <cx:txData>
              <cx:f>_xlchart.v1.8</cx:f>
              <cx:v>Test 8</cx:v>
            </cx:txData>
          </cx:tx>
          <cx:dataId val="1"/>
          <cx:layoutPr>
            <cx:statistics quartileMethod="in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  <cx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x:spPr>
  <cx:clrMapOvr bg1="lt1" tx1="dk1" bg2="lt2" tx2="dk2" accent1="accent1" accent2="accent2" accent3="accent3" accent4="accent4" accent5="accent5" accent6="accent6" hlink="hlink" folHlink="folHlink"/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[0]!Chart_1</cx:f>
      </cx:numDim>
    </cx:data>
    <cx:data id="1">
      <cx:numDim type="val">
        <cx:f>[0]!Chart_2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0" tIns="0" rIns="0" bIns="0" anchor="ctr" anchorCtr="1"/>
        <a:lstStyle/>
        <a:p>
          <a:pPr algn="ctr">
            <a:defRPr lang="en-US" sz="1400" b="0" i="0" u="none" strike="noStrike" kern="1200" spc="0" baseline="0">
              <a:solidFill>
                <a:schemeClr val="bg1"/>
              </a:solidFill>
              <a:latin typeface="Calibri" panose="020F0502020204030204"/>
            </a:defRPr>
          </a:pPr>
          <a:r>
            <a:rPr lang="en-US">
              <a:solidFill>
                <a:schemeClr val="bg1"/>
              </a:solidFill>
            </a:rPr>
            <a:t>Chart Title</a:t>
          </a:r>
        </a:p>
      </cx:txPr>
    </cx:title>
    <cx:plotArea>
      <cx:plotAreaRegion>
        <cx:series layoutId="boxWhisker" uniqueId="{A2EC0F79-9553-4A9B-B620-2CD4BBBB7A1E}" formatIdx="0">
          <cx:tx>
            <cx:txData>
              <cx:f>_xlchart.v1.13</cx:f>
              <cx:v>Test 10</cx:v>
            </cx:txData>
          </cx:tx>
          <cx:dataId val="0"/>
          <cx:layoutPr>
            <cx:visibility meanLine="0" meanMarker="1" nonoutliers="0" outliers="1"/>
            <cx:statistics quartileMethod="inclusive"/>
          </cx:layoutPr>
        </cx:series>
        <cx:series layoutId="boxWhisker" hidden="1" uniqueId="{00000002-BD1D-4A9A-BA40-6B978184C4BD}" formatIdx="1">
          <cx:tx>
            <cx:txData>
              <cx:f>_xlchart.v1.12</cx:f>
              <cx:v>Test 8</cx:v>
            </cx:txData>
          </cx:tx>
          <cx:dataId val="1"/>
          <cx:layoutPr>
            <cx:statistics quartileMethod="in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  <cx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x:spPr>
  <cx:clrMapOvr bg1="lt1" tx1="dk1" bg2="lt2" tx2="dk2" accent1="accent1" accent2="accent2" accent3="accent3" accent4="accent4" accent5="accent5" accent6="accent6" hlink="hlink" folHlink="folHlink"/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[0]!Chart_1</cx:f>
      </cx:numDim>
    </cx:data>
    <cx:data id="1">
      <cx:numDim type="val">
        <cx:f>[0]!Chart_2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0" tIns="0" rIns="0" bIns="0" anchor="ctr" anchorCtr="1"/>
        <a:lstStyle/>
        <a:p>
          <a:pPr algn="ctr">
            <a:defRPr lang="en-US" sz="1400" b="0" i="0" u="none" strike="noStrike" kern="1200" spc="0" baseline="0">
              <a:solidFill>
                <a:schemeClr val="bg1"/>
              </a:solidFill>
              <a:latin typeface="Calibri" panose="020F0502020204030204"/>
            </a:defRPr>
          </a:pPr>
          <a:r>
            <a:rPr lang="en-US">
              <a:solidFill>
                <a:schemeClr val="bg1"/>
              </a:solidFill>
            </a:rPr>
            <a:t>Chart Title</a:t>
          </a:r>
        </a:p>
      </cx:txPr>
    </cx:title>
    <cx:plotArea>
      <cx:plotAreaRegion>
        <cx:series layoutId="boxWhisker" uniqueId="{A2EC0F79-9553-4A9B-B620-2CD4BBBB7A1E}" formatIdx="0">
          <cx:tx>
            <cx:txData>
              <cx:f>_xlchart.v1.17</cx:f>
              <cx:v>Test 10</cx:v>
            </cx:txData>
          </cx:tx>
          <cx:dataId val="0"/>
          <cx:layoutPr>
            <cx:visibility meanLine="0" meanMarker="1" nonoutliers="0" outliers="1"/>
            <cx:statistics quartileMethod="inclusive"/>
          </cx:layoutPr>
        </cx:series>
        <cx:series layoutId="boxWhisker" hidden="1" uniqueId="{00000002-BD1D-4A9A-BA40-6B978184C4BD}" formatIdx="1">
          <cx:tx>
            <cx:txData>
              <cx:f>_xlchart.v1.16</cx:f>
              <cx:v>Test 8</cx:v>
            </cx:txData>
          </cx:tx>
          <cx:dataId val="1"/>
          <cx:layoutPr>
            <cx:statistics quartileMethod="in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  <cx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x:spPr>
  <cx:clrMapOvr bg1="lt1" tx1="dk1" bg2="lt2" tx2="dk2" accent1="accent1" accent2="accent2" accent3="accent3" accent4="accent4" accent5="accent5" accent6="accent6" hlink="hlink" folHlink="folHlink"/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5" Type="http://schemas.microsoft.com/office/2014/relationships/chartEx" Target="../charts/chartEx5.xml"/><Relationship Id="rId4" Type="http://schemas.microsoft.com/office/2014/relationships/chartEx" Target="../charts/chartEx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8</xdr:row>
          <xdr:rowOff>11430</xdr:rowOff>
        </xdr:from>
        <xdr:to>
          <xdr:col>8</xdr:col>
          <xdr:colOff>548640</xdr:colOff>
          <xdr:row>9</xdr:row>
          <xdr:rowOff>179070</xdr:rowOff>
        </xdr:to>
        <xdr:sp macro="" textlink="">
          <xdr:nvSpPr>
            <xdr:cNvPr id="10242" name="txt_Reading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11430</xdr:rowOff>
        </xdr:from>
        <xdr:to>
          <xdr:col>8</xdr:col>
          <xdr:colOff>548640</xdr:colOff>
          <xdr:row>13</xdr:row>
          <xdr:rowOff>15240</xdr:rowOff>
        </xdr:to>
        <xdr:sp macro="" textlink="">
          <xdr:nvSpPr>
            <xdr:cNvPr id="10246" name="txt_Writing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0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14</xdr:row>
          <xdr:rowOff>7620</xdr:rowOff>
        </xdr:from>
        <xdr:to>
          <xdr:col>8</xdr:col>
          <xdr:colOff>548640</xdr:colOff>
          <xdr:row>16</xdr:row>
          <xdr:rowOff>11430</xdr:rowOff>
        </xdr:to>
        <xdr:sp macro="" textlink="">
          <xdr:nvSpPr>
            <xdr:cNvPr id="10247" name="txt_MathwithNoCalc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0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11430</xdr:rowOff>
        </xdr:from>
        <xdr:to>
          <xdr:col>8</xdr:col>
          <xdr:colOff>541020</xdr:colOff>
          <xdr:row>19</xdr:row>
          <xdr:rowOff>53340</xdr:rowOff>
        </xdr:to>
        <xdr:sp macro="" textlink="">
          <xdr:nvSpPr>
            <xdr:cNvPr id="10248" name="txt_MathwithCalc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0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4</xdr:row>
          <xdr:rowOff>163830</xdr:rowOff>
        </xdr:from>
        <xdr:to>
          <xdr:col>8</xdr:col>
          <xdr:colOff>548640</xdr:colOff>
          <xdr:row>7</xdr:row>
          <xdr:rowOff>26670</xdr:rowOff>
        </xdr:to>
        <xdr:sp macro="" textlink="">
          <xdr:nvSpPr>
            <xdr:cNvPr id="10251" name="cmb_TestNo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0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</xdr:colOff>
          <xdr:row>11</xdr:row>
          <xdr:rowOff>68580</xdr:rowOff>
        </xdr:from>
        <xdr:to>
          <xdr:col>13</xdr:col>
          <xdr:colOff>331470</xdr:colOff>
          <xdr:row>19</xdr:row>
          <xdr:rowOff>60960</xdr:rowOff>
        </xdr:to>
        <xdr:sp macro="" textlink="">
          <xdr:nvSpPr>
            <xdr:cNvPr id="10254" name="txt_refer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0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</xdr:colOff>
          <xdr:row>5</xdr:row>
          <xdr:rowOff>7620</xdr:rowOff>
        </xdr:from>
        <xdr:to>
          <xdr:col>13</xdr:col>
          <xdr:colOff>335280</xdr:colOff>
          <xdr:row>11</xdr:row>
          <xdr:rowOff>0</xdr:rowOff>
        </xdr:to>
        <xdr:sp macro="" textlink="">
          <xdr:nvSpPr>
            <xdr:cNvPr id="10255" name="Button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0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14300" rIns="109728" bIns="114300" anchor="ctr" upright="1"/>
            <a:lstStyle/>
            <a:p>
              <a:pPr algn="ctr" rtl="0">
                <a:defRPr sz="1000"/>
              </a:pPr>
              <a:r>
                <a:rPr lang="en-NZ" sz="2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487680</xdr:colOff>
          <xdr:row>14</xdr:row>
          <xdr:rowOff>64770</xdr:rowOff>
        </xdr:from>
        <xdr:to>
          <xdr:col>16</xdr:col>
          <xdr:colOff>533400</xdr:colOff>
          <xdr:row>17</xdr:row>
          <xdr:rowOff>76200</xdr:rowOff>
        </xdr:to>
        <xdr:sp macro="" textlink="">
          <xdr:nvSpPr>
            <xdr:cNvPr id="10257" name="CheckBox1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0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9070</xdr:rowOff>
    </xdr:from>
    <xdr:to>
      <xdr:col>5</xdr:col>
      <xdr:colOff>0</xdr:colOff>
      <xdr:row>16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5" name="Reading Chart" hidden="1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6710" y="927280"/>
              <a:ext cx="8054340" cy="32713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N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 fLocksWithSheet="0"/>
  </xdr:twoCellAnchor>
  <xdr:absoluteAnchor>
    <xdr:pos x="8590644" y="3095101"/>
    <xdr:ext cx="8913585" cy="468653"/>
    <xdr:sp macro="" textlink="$J$14">
      <xdr:nvSpPr>
        <xdr:cNvPr id="7" name="Rectangle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8590644" y="3095101"/>
          <a:ext cx="8913585" cy="468653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C487A35-033A-460E-9063-762894546F08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Congratulations, you have passed the benchmark for 100% of Practice 10 Tests</a:t>
          </a:fld>
          <a:endParaRPr lang="en-NZ" sz="1600" b="1">
            <a:solidFill>
              <a:schemeClr val="bg1"/>
            </a:solidFill>
          </a:endParaRPr>
        </a:p>
      </xdr:txBody>
    </xdr:sp>
    <xdr:clientData/>
  </xdr:absoluteAnchor>
  <xdr:absoluteAnchor>
    <xdr:pos x="8606969" y="3679261"/>
    <xdr:ext cx="8902701" cy="472784"/>
    <xdr:sp macro="" textlink="$J$15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8606969" y="3679261"/>
          <a:ext cx="8902701" cy="472784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F851603-E857-4769-82B3-B8366F8CA6CA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Sorry, you have not passed the benchmark for any Practice 8 Tests</a:t>
          </a:fld>
          <a:endParaRPr lang="en-NZ" sz="1600" b="1">
            <a:solidFill>
              <a:schemeClr val="bg1"/>
            </a:solidFill>
          </a:endParaRPr>
        </a:p>
      </xdr:txBody>
    </xdr:sp>
    <xdr:clientData/>
  </xdr:absoluteAnchor>
  <xdr:absoluteAnchor>
    <xdr:pos x="1641464" y="928708"/>
    <xdr:ext cx="5115098" cy="307961"/>
    <xdr:sp macro="" textlink="$C$8">
      <xdr:nvSpPr>
        <xdr:cNvPr id="8" name="Reading Title" hidden="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641464" y="928708"/>
          <a:ext cx="5115098" cy="3079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EF486EA9-9C46-4AE7-B282-8484736DF890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SAT Practice 10 versus SAT Practice 8 Reading Score</a:t>
          </a:fld>
          <a:endParaRPr lang="en-NZ" sz="1600"/>
        </a:p>
      </xdr:txBody>
    </xdr:sp>
    <xdr:clientData/>
  </xdr:absoluteAnchor>
  <xdr:twoCellAnchor>
    <xdr:from>
      <xdr:col>1</xdr:col>
      <xdr:colOff>0</xdr:colOff>
      <xdr:row>4</xdr:row>
      <xdr:rowOff>0</xdr:rowOff>
    </xdr:from>
    <xdr:to>
      <xdr:col>5</xdr:col>
      <xdr:colOff>0</xdr:colOff>
      <xdr:row>15</xdr:row>
      <xdr:rowOff>108857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Writing Chart" hidden="1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6710" y="918210"/>
              <a:ext cx="8054340" cy="32711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N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 fLocksWithSheet="0"/>
  </xdr:twoCellAnchor>
  <xdr:absoluteAnchor>
    <xdr:pos x="1770343" y="914189"/>
    <xdr:ext cx="5092238" cy="301717"/>
    <xdr:sp macro="" textlink="$C$72">
      <xdr:nvSpPr>
        <xdr:cNvPr id="11" name="Writing Title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770343" y="914189"/>
          <a:ext cx="5092238" cy="30171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89332C75-C49D-4C3D-B2D4-4C0218768872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SAT Practice 10 versus SAT Practice 8 Writing Score</a:t>
          </a:fld>
          <a:endParaRPr lang="en-NZ" sz="16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absoluteAnchor>
  <xdr:twoCellAnchor>
    <xdr:from>
      <xdr:col>1</xdr:col>
      <xdr:colOff>0</xdr:colOff>
      <xdr:row>4</xdr:row>
      <xdr:rowOff>9070</xdr:rowOff>
    </xdr:from>
    <xdr:to>
      <xdr:col>5</xdr:col>
      <xdr:colOff>0</xdr:colOff>
      <xdr:row>15</xdr:row>
      <xdr:rowOff>99784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9" name="Math_without_Calc Chart" hidden="1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6710" y="927280"/>
              <a:ext cx="8054340" cy="32530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N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 fLocksWithSheet="0"/>
  </xdr:twoCellAnchor>
  <xdr:absoluteAnchor>
    <xdr:pos x="1844331" y="886974"/>
    <xdr:ext cx="5441623" cy="519705"/>
    <xdr:sp macro="" textlink="$C$26">
      <xdr:nvSpPr>
        <xdr:cNvPr id="12" name="Math_without_Calc Title" hidden="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844331" y="886974"/>
          <a:ext cx="5441623" cy="5197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EC173EA7-DBFB-49E2-AA58-BA0A119CA8A7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SAT Practice 10 versus SAT Practice 8 Maths without calc Score</a:t>
          </a:fld>
          <a:endParaRPr lang="en-NZ" sz="16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absoluteAnchor>
  <xdr:twoCellAnchor>
    <xdr:from>
      <xdr:col>1</xdr:col>
      <xdr:colOff>0</xdr:colOff>
      <xdr:row>4</xdr:row>
      <xdr:rowOff>-1</xdr:rowOff>
    </xdr:from>
    <xdr:to>
      <xdr:col>5</xdr:col>
      <xdr:colOff>0</xdr:colOff>
      <xdr:row>15</xdr:row>
      <xdr:rowOff>117927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1" name="Math_with_Calc Chart" hidden="1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6710" y="918209"/>
              <a:ext cx="8054340" cy="32802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N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 fLocksWithSheet="0"/>
  </xdr:twoCellAnchor>
  <xdr:absoluteAnchor>
    <xdr:pos x="1693096" y="950473"/>
    <xdr:ext cx="5115098" cy="294330"/>
    <xdr:sp macro="" textlink="$C$44">
      <xdr:nvSpPr>
        <xdr:cNvPr id="13" name="Math_with_Calc Title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693096" y="950473"/>
          <a:ext cx="5115098" cy="29433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75380D35-083A-4355-96EA-752C1749813B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SAT Practice 10 versus SAT Practice 8 Math with Calc Score</a:t>
          </a:fld>
          <a:endParaRPr lang="en-NZ" sz="16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absoluteAnchor>
  <xdr:twoCellAnchor>
    <xdr:from>
      <xdr:col>1</xdr:col>
      <xdr:colOff>0</xdr:colOff>
      <xdr:row>4</xdr:row>
      <xdr:rowOff>9071</xdr:rowOff>
    </xdr:from>
    <xdr:to>
      <xdr:col>5</xdr:col>
      <xdr:colOff>0</xdr:colOff>
      <xdr:row>16</xdr:row>
      <xdr:rowOff>9072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2" name="Overall Chart">
              <a:extLst>
                <a:ext uri="{FF2B5EF4-FFF2-40B4-BE49-F238E27FC236}">
                  <a16:creationId xmlns:a16="http://schemas.microsoft.com/office/drawing/2014/main" id="{00000000-0008-0000-0100-00001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6710" y="927281"/>
              <a:ext cx="8054340" cy="32804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N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 fLocksWithSheet="0"/>
  </xdr:twoCellAnchor>
  <xdr:absoluteAnchor>
    <xdr:pos x="1624120" y="991786"/>
    <xdr:ext cx="5115098" cy="289954"/>
    <xdr:sp macro="" textlink="$C$59">
      <xdr:nvSpPr>
        <xdr:cNvPr id="14" name="Overall Title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624120" y="991786"/>
          <a:ext cx="5115098" cy="28995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8AEB1BE0-5BD8-4EEC-BB41-4E1215E7A475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SAT Practice 10 versus SAT Practice 8 Overall Score</a:t>
          </a:fld>
          <a:endParaRPr lang="en-NZ" sz="16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ference%20Table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 Table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5CD38A8-9ABA-48CF-930E-CB665A311DAE}" name="Practice_Test_1" displayName="Practice_Test_1" ref="W1:AB5" totalsRowShown="0">
  <autoFilter ref="W1:AB5" xr:uid="{2DF712C8-90C0-4DE6-8B0C-03D9068687E2}"/>
  <tableColumns count="6">
    <tableColumn id="1" xr3:uid="{0981D4CF-29B6-4EF5-B295-6793D21B1448}" name="SAT_Practice_Test_Number"/>
    <tableColumn id="2" xr3:uid="{69E93E99-D050-40F4-A8C6-2E507D8B31E5}" name="Reading"/>
    <tableColumn id="3" xr3:uid="{F19BA0A1-5837-4072-B928-AE7A6CC38993}" name="Writing"/>
    <tableColumn id="4" xr3:uid="{619C2E7C-1849-4773-9CC7-5012F9C80DCB}" name="Math_without_Calc"/>
    <tableColumn id="5" xr3:uid="{5013B803-209B-4D0F-B4F7-9F05F7325FCD}" name="Math_with_Calc"/>
    <tableColumn id="6" xr3:uid="{287A83A3-5A6C-4A94-9916-1F5845C9B78C}" name="Overa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FB12CF-E79F-460A-A811-3FCA2D09027C}" name="Practice_Test_2" displayName="Practice_Test_2" ref="AE1:AJ3" totalsRowShown="0">
  <autoFilter ref="AE1:AJ3" xr:uid="{264105AF-7661-4C13-BF77-3FE857A43B85}"/>
  <tableColumns count="6">
    <tableColumn id="1" xr3:uid="{B62FE78C-C436-4B9F-BCE8-33C4BC1E437B}" name="Column1"/>
    <tableColumn id="2" xr3:uid="{3CEF93C3-C316-4C73-BE1A-412E8969411C}" name="Column2"/>
    <tableColumn id="3" xr3:uid="{CD183F54-43F2-46CC-9E03-10FC916E0763}" name="Column3"/>
    <tableColumn id="4" xr3:uid="{657479A4-AA09-4C67-AE74-18A37E269A77}" name="Column4"/>
    <tableColumn id="5" xr3:uid="{7F18FE83-CD57-46B8-BCE9-E99D33891D50}" name="Column5"/>
    <tableColumn id="6" xr3:uid="{C620E309-F01D-410F-B0EA-86E3E366154A}" name="Column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4000000}" name="Reverser" displayName="Reverser" ref="A1:J2" totalsRowShown="0">
  <autoFilter ref="A1:J2" xr:uid="{00000000-0009-0000-0100-00000A000000}"/>
  <tableColumns count="10">
    <tableColumn id="1" xr3:uid="{00000000-0010-0000-0400-000001000000}" name="SAT Practice Test Number"/>
    <tableColumn id="2" xr3:uid="{00000000-0010-0000-0400-000002000000}" name="Reading Weighted Score" dataDxfId="5"/>
    <tableColumn id="3" xr3:uid="{00000000-0010-0000-0400-000003000000}" name="Writing Weighted Score" dataDxfId="4"/>
    <tableColumn id="4" xr3:uid="{00000000-0010-0000-0400-000004000000}" name="Math Weighted Score" dataDxfId="3"/>
    <tableColumn id="5" xr3:uid="{00000000-0010-0000-0400-000005000000}" name="Overall" dataDxfId="2"/>
    <tableColumn id="6" xr3:uid="{00000000-0010-0000-0400-000006000000}" name="Reading">
      <calculatedColumnFormula>INDEX(Raw_Score,MATCH(B2,Reading,0))</calculatedColumnFormula>
    </tableColumn>
    <tableColumn id="7" xr3:uid="{00000000-0010-0000-0400-000007000000}" name="Writing">
      <calculatedColumnFormula>INDEX(Raw_Score,MATCH(C2,Writing,0))</calculatedColumnFormula>
    </tableColumn>
    <tableColumn id="8" xr3:uid="{00000000-0010-0000-0400-000008000000}" name="Math with AND without Calc">
      <calculatedColumnFormula>INDEX(Raw_Score,MATCH(D2,Math_with_AND_without_Calculator,0))</calculatedColumnFormula>
    </tableColumn>
    <tableColumn id="9" xr3:uid="{00000000-0010-0000-0400-000009000000}" name="Math without Calc">
      <calculatedColumnFormula>IF(H2&lt;=20,RANDBETWEEN(0,H2),20)</calculatedColumnFormula>
    </tableColumn>
    <tableColumn id="10" xr3:uid="{00000000-0010-0000-0400-00000A000000}" name="Math with Calc">
      <calculatedColumnFormula>H2-I2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7E1553-C644-4119-89A1-E79EB1DBF905}" name="Reverse" displayName="Reverse" ref="A4:E63" totalsRowShown="0">
  <autoFilter ref="A4:E63" xr:uid="{1A557E46-81CE-4A87-BBF3-9364C09110C0}"/>
  <tableColumns count="5">
    <tableColumn id="1" xr3:uid="{2FE90989-3A78-48D5-BEA8-157F9C669C1C}" name="Raw_Score"/>
    <tableColumn id="2" xr3:uid="{E29B2ADE-E3DB-43B4-AAE8-9E03AD841C8A}" name="Math_with_AND_without_Calc"/>
    <tableColumn id="3" xr3:uid="{B762FCAE-1B12-4230-91CC-2ED4F97D5F29}" name="Reading"/>
    <tableColumn id="4" xr3:uid="{325D3BC9-1C0A-4BE4-9BE2-9BE750683AC0}" name="Writing"/>
    <tableColumn id="5" xr3:uid="{1A5D7E80-1E43-4626-A9A0-7388B16D70D7}" name="Practice_Test_Numb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le5" displayName="Table5" ref="B4:C7" headerRowCount="0" totalsRowShown="0">
  <tableColumns count="2">
    <tableColumn id="1" xr3:uid="{00000000-0010-0000-0500-000001000000}" name="Column1"/>
    <tableColumn id="2" xr3:uid="{00000000-0010-0000-0500-000002000000}" name="28" headerRowDxfId="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U19"/>
  <sheetViews>
    <sheetView showGridLines="0" zoomScale="110" zoomScaleNormal="111" workbookViewId="0"/>
  </sheetViews>
  <sheetFormatPr defaultRowHeight="14.4" x14ac:dyDescent="0.55000000000000004"/>
  <cols>
    <col min="1" max="1" width="11.1015625" customWidth="1"/>
    <col min="2" max="2" width="7.62890625" customWidth="1"/>
    <col min="3" max="4" width="9.62890625" customWidth="1"/>
    <col min="5" max="5" width="13" customWidth="1"/>
    <col min="6" max="6" width="3" customWidth="1"/>
    <col min="16" max="16" width="22.7890625" bestFit="1" customWidth="1"/>
    <col min="17" max="17" width="13.15625" customWidth="1"/>
  </cols>
  <sheetData>
    <row r="5" spans="1:21" x14ac:dyDescent="0.55000000000000004">
      <c r="U5" t="s">
        <v>34</v>
      </c>
    </row>
    <row r="6" spans="1:21" ht="14.4" customHeight="1" x14ac:dyDescent="0.55000000000000004">
      <c r="C6" s="35" t="s">
        <v>28</v>
      </c>
      <c r="D6" s="35"/>
      <c r="E6" s="35"/>
      <c r="U6" t="s">
        <v>14</v>
      </c>
    </row>
    <row r="7" spans="1:21" ht="14.4" customHeight="1" x14ac:dyDescent="0.55000000000000004">
      <c r="B7" s="3"/>
      <c r="C7" s="35"/>
      <c r="D7" s="35"/>
      <c r="E7" s="35"/>
      <c r="U7" t="s">
        <v>13</v>
      </c>
    </row>
    <row r="8" spans="1:21" ht="18.3" x14ac:dyDescent="0.7">
      <c r="A8" s="2"/>
      <c r="B8" s="2"/>
      <c r="C8" s="34"/>
      <c r="D8" s="34"/>
      <c r="E8" s="34"/>
      <c r="U8" t="s">
        <v>35</v>
      </c>
    </row>
    <row r="9" spans="1:21" ht="17.5" customHeight="1" x14ac:dyDescent="0.7">
      <c r="C9" s="35" t="s">
        <v>29</v>
      </c>
      <c r="D9" s="35"/>
      <c r="E9" s="35"/>
      <c r="F9" s="2"/>
      <c r="G9" s="2"/>
      <c r="H9" s="2"/>
      <c r="I9" s="2"/>
      <c r="J9" s="2"/>
      <c r="K9" s="2"/>
      <c r="L9" s="2"/>
      <c r="N9" s="2"/>
      <c r="O9" s="2"/>
      <c r="Q9" s="5"/>
      <c r="S9" s="2"/>
      <c r="T9" s="2"/>
      <c r="U9" s="2" t="s">
        <v>33</v>
      </c>
    </row>
    <row r="10" spans="1:21" ht="14.5" customHeight="1" x14ac:dyDescent="0.55000000000000004">
      <c r="C10" s="35"/>
      <c r="D10" s="35"/>
      <c r="E10" s="35"/>
      <c r="U10" t="s">
        <v>36</v>
      </c>
    </row>
    <row r="11" spans="1:21" ht="14.5" customHeight="1" x14ac:dyDescent="0.55000000000000004">
      <c r="C11" s="34"/>
      <c r="D11" s="34"/>
      <c r="E11" s="34"/>
      <c r="U11" t="s">
        <v>37</v>
      </c>
    </row>
    <row r="12" spans="1:21" ht="14.5" customHeight="1" x14ac:dyDescent="0.55000000000000004">
      <c r="C12" s="35" t="s">
        <v>30</v>
      </c>
      <c r="D12" s="35"/>
      <c r="E12" s="35"/>
      <c r="U12" t="s">
        <v>38</v>
      </c>
    </row>
    <row r="13" spans="1:21" ht="14.5" customHeight="1" x14ac:dyDescent="0.55000000000000004">
      <c r="C13" s="35"/>
      <c r="D13" s="35"/>
      <c r="E13" s="35"/>
      <c r="U13" t="s">
        <v>39</v>
      </c>
    </row>
    <row r="14" spans="1:21" ht="14.5" customHeight="1" x14ac:dyDescent="0.55000000000000004">
      <c r="C14" s="34"/>
      <c r="D14" s="34"/>
      <c r="E14" s="34"/>
      <c r="U14" t="s">
        <v>40</v>
      </c>
    </row>
    <row r="15" spans="1:21" ht="14.4" customHeight="1" x14ac:dyDescent="0.55000000000000004">
      <c r="C15" s="35" t="s">
        <v>31</v>
      </c>
      <c r="D15" s="35"/>
      <c r="E15" s="35"/>
    </row>
    <row r="16" spans="1:21" ht="14.4" customHeight="1" x14ac:dyDescent="0.55000000000000004">
      <c r="C16" s="35"/>
      <c r="D16" s="35"/>
      <c r="E16" s="35"/>
    </row>
    <row r="17" spans="3:5" ht="14.5" customHeight="1" x14ac:dyDescent="0.55000000000000004">
      <c r="C17" s="34"/>
      <c r="D17" s="34"/>
      <c r="E17" s="34"/>
    </row>
    <row r="18" spans="3:5" ht="14.5" customHeight="1" x14ac:dyDescent="0.55000000000000004">
      <c r="C18" s="35" t="s">
        <v>32</v>
      </c>
      <c r="D18" s="35"/>
      <c r="E18" s="35"/>
    </row>
    <row r="19" spans="3:5" ht="14.5" customHeight="1" x14ac:dyDescent="0.55000000000000004">
      <c r="C19" s="35"/>
      <c r="D19" s="35"/>
      <c r="E19" s="35"/>
    </row>
  </sheetData>
  <mergeCells count="5">
    <mergeCell ref="C18:E19"/>
    <mergeCell ref="C6:E7"/>
    <mergeCell ref="C15:E16"/>
    <mergeCell ref="C9:E10"/>
    <mergeCell ref="C12:E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7" r:id="rId4" name="CheckBox1">
          <controlPr defaultSize="0" autoLine="0" autoPict="0" r:id="rId5">
            <anchor moveWithCells="1">
              <from>
                <xdr:col>13</xdr:col>
                <xdr:colOff>487680</xdr:colOff>
                <xdr:row>14</xdr:row>
                <xdr:rowOff>64770</xdr:rowOff>
              </from>
              <to>
                <xdr:col>16</xdr:col>
                <xdr:colOff>533400</xdr:colOff>
                <xdr:row>17</xdr:row>
                <xdr:rowOff>76200</xdr:rowOff>
              </to>
            </anchor>
          </controlPr>
        </control>
      </mc:Choice>
      <mc:Fallback>
        <control shapeId="10257" r:id="rId4" name="CheckBox1"/>
      </mc:Fallback>
    </mc:AlternateContent>
    <mc:AlternateContent xmlns:mc="http://schemas.openxmlformats.org/markup-compatibility/2006">
      <mc:Choice Requires="x14">
        <control shapeId="10251" r:id="rId6" name="cmb_TestNo">
          <controlPr defaultSize="0" autoLine="0" listFillRange="Practice_Test_Numbers" r:id="rId7">
            <anchor moveWithCells="1">
              <from>
                <xdr:col>6</xdr:col>
                <xdr:colOff>7620</xdr:colOff>
                <xdr:row>4</xdr:row>
                <xdr:rowOff>163830</xdr:rowOff>
              </from>
              <to>
                <xdr:col>8</xdr:col>
                <xdr:colOff>548640</xdr:colOff>
                <xdr:row>7</xdr:row>
                <xdr:rowOff>26670</xdr:rowOff>
              </to>
            </anchor>
          </controlPr>
        </control>
      </mc:Choice>
      <mc:Fallback>
        <control shapeId="10251" r:id="rId6" name="cmb_TestNo"/>
      </mc:Fallback>
    </mc:AlternateContent>
    <mc:AlternateContent xmlns:mc="http://schemas.openxmlformats.org/markup-compatibility/2006">
      <mc:Choice Requires="x14">
        <control shapeId="10248" r:id="rId8" name="txt_MathwithCalc">
          <controlPr defaultSize="0" autoLine="0" r:id="rId9">
            <anchor moveWithCells="1">
              <from>
                <xdr:col>6</xdr:col>
                <xdr:colOff>0</xdr:colOff>
                <xdr:row>17</xdr:row>
                <xdr:rowOff>11430</xdr:rowOff>
              </from>
              <to>
                <xdr:col>8</xdr:col>
                <xdr:colOff>541020</xdr:colOff>
                <xdr:row>19</xdr:row>
                <xdr:rowOff>53340</xdr:rowOff>
              </to>
            </anchor>
          </controlPr>
        </control>
      </mc:Choice>
      <mc:Fallback>
        <control shapeId="10248" r:id="rId8" name="txt_MathwithCalc"/>
      </mc:Fallback>
    </mc:AlternateContent>
    <mc:AlternateContent xmlns:mc="http://schemas.openxmlformats.org/markup-compatibility/2006">
      <mc:Choice Requires="x14">
        <control shapeId="10247" r:id="rId10" name="txt_MathwithNoCalc">
          <controlPr defaultSize="0" autoLine="0" r:id="rId11">
            <anchor moveWithCells="1">
              <from>
                <xdr:col>6</xdr:col>
                <xdr:colOff>7620</xdr:colOff>
                <xdr:row>14</xdr:row>
                <xdr:rowOff>7620</xdr:rowOff>
              </from>
              <to>
                <xdr:col>8</xdr:col>
                <xdr:colOff>548640</xdr:colOff>
                <xdr:row>16</xdr:row>
                <xdr:rowOff>11430</xdr:rowOff>
              </to>
            </anchor>
          </controlPr>
        </control>
      </mc:Choice>
      <mc:Fallback>
        <control shapeId="10247" r:id="rId10" name="txt_MathwithNoCalc"/>
      </mc:Fallback>
    </mc:AlternateContent>
    <mc:AlternateContent xmlns:mc="http://schemas.openxmlformats.org/markup-compatibility/2006">
      <mc:Choice Requires="x14">
        <control shapeId="10246" r:id="rId12" name="txt_Writing">
          <controlPr defaultSize="0" autoLine="0" r:id="rId13">
            <anchor moveWithCells="1">
              <from>
                <xdr:col>6</xdr:col>
                <xdr:colOff>0</xdr:colOff>
                <xdr:row>11</xdr:row>
                <xdr:rowOff>11430</xdr:rowOff>
              </from>
              <to>
                <xdr:col>8</xdr:col>
                <xdr:colOff>548640</xdr:colOff>
                <xdr:row>13</xdr:row>
                <xdr:rowOff>15240</xdr:rowOff>
              </to>
            </anchor>
          </controlPr>
        </control>
      </mc:Choice>
      <mc:Fallback>
        <control shapeId="10246" r:id="rId12" name="txt_Writing"/>
      </mc:Fallback>
    </mc:AlternateContent>
    <mc:AlternateContent xmlns:mc="http://schemas.openxmlformats.org/markup-compatibility/2006">
      <mc:Choice Requires="x14">
        <control shapeId="10242" r:id="rId14" name="txt_Reading">
          <controlPr defaultSize="0" autoFill="0" autoLine="0" r:id="rId15">
            <anchor moveWithCells="1">
              <from>
                <xdr:col>6</xdr:col>
                <xdr:colOff>7620</xdr:colOff>
                <xdr:row>8</xdr:row>
                <xdr:rowOff>11430</xdr:rowOff>
              </from>
              <to>
                <xdr:col>8</xdr:col>
                <xdr:colOff>548640</xdr:colOff>
                <xdr:row>9</xdr:row>
                <xdr:rowOff>179070</xdr:rowOff>
              </to>
            </anchor>
          </controlPr>
        </control>
      </mc:Choice>
      <mc:Fallback>
        <control shapeId="10242" r:id="rId14" name="txt_Reading"/>
      </mc:Fallback>
    </mc:AlternateContent>
    <mc:AlternateContent xmlns:mc="http://schemas.openxmlformats.org/markup-compatibility/2006">
      <mc:Choice Requires="x14">
        <control shapeId="10254" r:id="rId16" name="txt_refer">
          <controlPr defaultSize="0" disabled="1" autoLine="0" autoPict="0" r:id="rId17">
            <anchor moveWithCells="1">
              <from>
                <xdr:col>9</xdr:col>
                <xdr:colOff>49530</xdr:colOff>
                <xdr:row>11</xdr:row>
                <xdr:rowOff>68580</xdr:rowOff>
              </from>
              <to>
                <xdr:col>13</xdr:col>
                <xdr:colOff>331470</xdr:colOff>
                <xdr:row>19</xdr:row>
                <xdr:rowOff>60960</xdr:rowOff>
              </to>
            </anchor>
          </controlPr>
        </control>
      </mc:Choice>
      <mc:Fallback>
        <control shapeId="10254" r:id="rId16" name="txt_refer"/>
      </mc:Fallback>
    </mc:AlternateContent>
    <mc:AlternateContent xmlns:mc="http://schemas.openxmlformats.org/markup-compatibility/2006">
      <mc:Choice Requires="x14">
        <control shapeId="10255" r:id="rId18" name="Button 15">
          <controlPr defaultSize="0" print="0" autoFill="0" autoPict="0" macro="[0]!Both">
            <anchor moveWithCells="1" sizeWithCells="1">
              <from>
                <xdr:col>9</xdr:col>
                <xdr:colOff>49530</xdr:colOff>
                <xdr:row>5</xdr:row>
                <xdr:rowOff>7620</xdr:rowOff>
              </from>
              <to>
                <xdr:col>13</xdr:col>
                <xdr:colOff>335280</xdr:colOff>
                <xdr:row>11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AJ252"/>
  <sheetViews>
    <sheetView showGridLines="0" tabSelected="1" zoomScale="80" zoomScaleNormal="80" workbookViewId="0">
      <selection activeCell="B17" sqref="B17:E18"/>
    </sheetView>
  </sheetViews>
  <sheetFormatPr defaultColWidth="8.7890625" defaultRowHeight="14.4" x14ac:dyDescent="0.55000000000000004"/>
  <cols>
    <col min="1" max="1" width="4.7890625" style="6" customWidth="1"/>
    <col min="2" max="2" width="26.15625" style="7" bestFit="1" customWidth="1"/>
    <col min="3" max="3" width="25.47265625" style="7" bestFit="1" customWidth="1"/>
    <col min="4" max="4" width="43.47265625" style="7" bestFit="1" customWidth="1"/>
    <col min="5" max="5" width="16.15625" style="7" bestFit="1" customWidth="1"/>
    <col min="6" max="6" width="2.62890625" style="8" customWidth="1"/>
    <col min="7" max="7" width="29.1015625" style="8" bestFit="1" customWidth="1"/>
    <col min="8" max="8" width="7.62890625" style="8" customWidth="1"/>
    <col min="9" max="9" width="23.47265625" style="8" customWidth="1"/>
    <col min="10" max="10" width="7.62890625" style="8" customWidth="1"/>
    <col min="11" max="11" width="20.47265625" style="8" customWidth="1"/>
    <col min="12" max="12" width="7.62890625" style="8" customWidth="1"/>
    <col min="13" max="13" width="19.15625" style="8" bestFit="1" customWidth="1"/>
    <col min="14" max="14" width="7.62890625" style="8" customWidth="1"/>
    <col min="15" max="17" width="8.7890625" style="8"/>
    <col min="18" max="18" width="32.1015625" style="8" customWidth="1"/>
    <col min="19" max="22" width="8.7890625" style="8"/>
    <col min="23" max="23" width="25.05078125" customWidth="1"/>
    <col min="24" max="24" width="24.89453125" customWidth="1"/>
    <col min="25" max="25" width="18.5234375" customWidth="1"/>
    <col min="26" max="26" width="18.62890625" customWidth="1"/>
    <col min="27" max="27" width="18.5234375" customWidth="1"/>
    <col min="28" max="28" width="18.26171875" customWidth="1"/>
    <col min="29" max="29" width="17.89453125" customWidth="1"/>
    <col min="30" max="30" width="16.1015625" customWidth="1"/>
    <col min="31" max="32" width="24.89453125" customWidth="1"/>
    <col min="33" max="33" width="15.7890625" customWidth="1"/>
    <col min="34" max="34" width="24.89453125" customWidth="1"/>
    <col min="35" max="35" width="18.5234375" customWidth="1"/>
    <col min="36" max="36" width="17.89453125" customWidth="1"/>
    <col min="37" max="37" width="18.5234375" customWidth="1"/>
    <col min="38" max="38" width="15.7890625" customWidth="1"/>
    <col min="39" max="39" width="18.26171875" customWidth="1"/>
    <col min="40" max="40" width="17.89453125" customWidth="1"/>
    <col min="41" max="41" width="16.1015625" customWidth="1"/>
  </cols>
  <sheetData>
    <row r="1" spans="1:36" ht="14.7" thickBot="1" x14ac:dyDescent="0.6">
      <c r="W1" t="s">
        <v>22</v>
      </c>
      <c r="X1" t="s">
        <v>1</v>
      </c>
      <c r="Y1" t="s">
        <v>2</v>
      </c>
      <c r="Z1" t="s">
        <v>23</v>
      </c>
      <c r="AA1" t="s">
        <v>24</v>
      </c>
      <c r="AB1" t="s">
        <v>8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</row>
    <row r="2" spans="1:36" ht="28.75" customHeight="1" thickBot="1" x14ac:dyDescent="0.6">
      <c r="B2" s="36" t="s">
        <v>12</v>
      </c>
      <c r="C2" s="37"/>
      <c r="D2" s="37"/>
      <c r="E2" s="38"/>
      <c r="G2" s="36" t="s">
        <v>15</v>
      </c>
      <c r="H2" s="37"/>
      <c r="I2" s="37"/>
      <c r="J2" s="37"/>
      <c r="K2" s="37"/>
      <c r="L2" s="37"/>
      <c r="M2" s="37"/>
      <c r="N2" s="38"/>
      <c r="O2"/>
      <c r="W2" t="s">
        <v>40</v>
      </c>
      <c r="X2">
        <v>21</v>
      </c>
      <c r="Y2">
        <v>32</v>
      </c>
      <c r="Z2">
        <v>20</v>
      </c>
      <c r="AA2">
        <v>38</v>
      </c>
      <c r="AB2">
        <v>1280</v>
      </c>
      <c r="AE2" t="s">
        <v>22</v>
      </c>
      <c r="AF2" t="s">
        <v>1</v>
      </c>
      <c r="AG2" t="s">
        <v>2</v>
      </c>
      <c r="AH2" t="s">
        <v>23</v>
      </c>
      <c r="AI2" t="s">
        <v>24</v>
      </c>
      <c r="AJ2" t="s">
        <v>8</v>
      </c>
    </row>
    <row r="3" spans="1:36" ht="14.7" hidden="1" thickBot="1" x14ac:dyDescent="0.6">
      <c r="B3" s="50" t="s">
        <v>3</v>
      </c>
      <c r="C3" s="50"/>
      <c r="D3" s="50" t="s">
        <v>3</v>
      </c>
      <c r="E3" s="50"/>
      <c r="W3" t="s">
        <v>40</v>
      </c>
      <c r="X3">
        <v>21</v>
      </c>
      <c r="Y3">
        <v>24</v>
      </c>
      <c r="Z3">
        <v>20</v>
      </c>
      <c r="AA3">
        <v>38</v>
      </c>
      <c r="AB3">
        <v>1240</v>
      </c>
    </row>
    <row r="4" spans="1:36" ht="29.1" thickBot="1" x14ac:dyDescent="0.6">
      <c r="B4" s="51" t="s">
        <v>40</v>
      </c>
      <c r="C4" s="52"/>
      <c r="D4" s="53" t="s">
        <v>38</v>
      </c>
      <c r="E4" s="54"/>
      <c r="G4" s="9" t="str">
        <f>CONCATENATE("Median Reading score for Test ",$B$4,":")</f>
        <v>Median Reading score for Test 10:</v>
      </c>
      <c r="H4" s="10">
        <f ca="1">IFERROR(_xlfn.QUARTILE.INC(INDIRECT("Practice_Test_1[" &amp; TRIM(MID(G4,FIND(" ",G4),FIND(" s",G4) -FIND(" ",G4))) &amp; "]"),2),0)</f>
        <v>21</v>
      </c>
      <c r="I4" s="11" t="str">
        <f>CONCATENATE("Median Reading score for Test ",$D$4,":")</f>
        <v>Median Reading score for Test 8:</v>
      </c>
      <c r="J4" s="10">
        <f ca="1">IFERROR(_xlfn.QUARTILE.INC(INDIRECT("Practice_Test_2[" &amp; TRIM(MID(I4,FIND(" ",I4),FIND(" s",I4) -FIND(" ",I4))) &amp; "]"),2), 0)</f>
        <v>0</v>
      </c>
      <c r="K4" s="11" t="str">
        <f>CONCATENATE("Reading IQR for Test ",$B$4,":")</f>
        <v>Reading IQR for Test 10:</v>
      </c>
      <c r="L4" s="26">
        <f ca="1">IFERROR(_xlfn.QUARTILE.INC(INDIRECT("Practice_Test_1[" &amp; LEFT(K4,FIND(" ",K4)-1) &amp; "]"),3) - _xlfn.QUARTILE.INC(INDIRECT("Practice_Test_1[" &amp; LEFT(K4,FIND(" ",K4)-1) &amp; "]"),1),0)</f>
        <v>0.75</v>
      </c>
      <c r="M4" s="11" t="str">
        <f>CONCATENATE("Reading IQR for Test ",$D$4,":")</f>
        <v>Reading IQR for Test 8:</v>
      </c>
      <c r="N4" s="12">
        <f ca="1">IFERROR(_xlfn.QUARTILE.INC(INDIRECT("Practice_Test_2[" &amp; LEFT(M4,FIND(" ",M4)-1) &amp; "]"),3) - _xlfn.QUARTILE.INC(INDIRECT("Practice_Test_2[" &amp; LEFT(M4,FIND(" ",M4)-1) &amp; "]"),1),0)</f>
        <v>0</v>
      </c>
      <c r="W4" t="s">
        <v>40</v>
      </c>
      <c r="X4">
        <v>21</v>
      </c>
      <c r="Y4">
        <v>24</v>
      </c>
      <c r="Z4">
        <v>20</v>
      </c>
      <c r="AA4">
        <v>38</v>
      </c>
      <c r="AB4">
        <v>1240</v>
      </c>
    </row>
    <row r="5" spans="1:36" ht="28.8" x14ac:dyDescent="0.55000000000000004">
      <c r="G5" s="13" t="str">
        <f>CONCATENATE("Median Writing score for Test ",$B$4,":")</f>
        <v>Median Writing score for Test 10:</v>
      </c>
      <c r="H5" s="14">
        <f ca="1">IFERROR(_xlfn.QUARTILE.INC(INDIRECT("Practice_Test_1[" &amp; TRIM(MID(G5,FIND(" ",G5),FIND(" s",G5) -FIND(" ",G5))) &amp; "]"),2),0)</f>
        <v>27.5</v>
      </c>
      <c r="I5" s="15" t="str">
        <f>CONCATENATE("Median Writing score for Test ",$D$4,":")</f>
        <v>Median Writing score for Test 8:</v>
      </c>
      <c r="J5" s="14">
        <f ca="1">IFERROR(_xlfn.QUARTILE.INC(INDIRECT("Practice_Test_2[" &amp; TRIM(MID(I5,FIND(" ",I5),FIND(" s",I5) -FIND(" ",I5))) &amp; "]"),2),0)</f>
        <v>0</v>
      </c>
      <c r="K5" s="15" t="str">
        <f>CONCATENATE("Writing IQR for Test ",$B$4,":")</f>
        <v>Writing IQR for Test 10:</v>
      </c>
      <c r="L5" s="25">
        <f ca="1">IFERROR(_xlfn.QUARTILE.INC(INDIRECT("Practice_Test_1[" &amp; LEFT(K5,FIND(" ",K5)-1) &amp; "]"),3) - _xlfn.QUARTILE.INC(INDIRECT("Practice_Test_1[" &amp; LEFT(K5,FIND(" ",K5)-1) &amp; "]"),1),0)</f>
        <v>7.25</v>
      </c>
      <c r="M5" s="15" t="str">
        <f>CONCATENATE("Writing IQR for Test ",$D$4,":")</f>
        <v>Writing IQR for Test 8:</v>
      </c>
      <c r="N5" s="16">
        <f ca="1">IFERROR(_xlfn.QUARTILE.INC(INDIRECT("Practice_Test_2[" &amp; LEFT(M5,FIND(" ",M5)-1) &amp; "]"),3) - _xlfn.QUARTILE.INC(INDIRECT("Practice_Test_2[" &amp; LEFT(M5,FIND(" ",M5)-1) &amp; "]"),1),0)</f>
        <v>0</v>
      </c>
      <c r="W5" t="s">
        <v>40</v>
      </c>
      <c r="X5">
        <v>24</v>
      </c>
      <c r="Y5">
        <v>31</v>
      </c>
      <c r="Z5">
        <v>20</v>
      </c>
      <c r="AA5">
        <v>38</v>
      </c>
      <c r="AB5">
        <v>1300</v>
      </c>
    </row>
    <row r="6" spans="1:36" ht="28.8" x14ac:dyDescent="0.55000000000000004">
      <c r="A6" s="17"/>
      <c r="G6" s="18" t="str">
        <f>CONCATENATE("Median Math_without_Calc score for Test ",$B$4,":")</f>
        <v>Median Math_without_Calc score for Test 10:</v>
      </c>
      <c r="H6" s="14">
        <f ca="1">IFERROR(_xlfn.QUARTILE.INC(INDIRECT("Practice_Test_1[" &amp; TRIM(MID(G6,FIND(" ",G6),FIND(" s",G6) -FIND(" ",G6))) &amp; "]"),2),0)</f>
        <v>20</v>
      </c>
      <c r="I6" s="19" t="str">
        <f>CONCATENATE("Median Math_without_Calc score for Test ",$D$4,":")</f>
        <v>Median Math_without_Calc score for Test 8:</v>
      </c>
      <c r="J6" s="14">
        <f ca="1">IFERROR(_xlfn.QUARTILE.INC(INDIRECT("Practice_Test_2[" &amp; TRIM(MID(I6,FIND(" ",I6),FIND(" s",I6) -FIND(" ",I6))) &amp; "]"),2),0)</f>
        <v>0</v>
      </c>
      <c r="K6" s="19" t="str">
        <f>CONCATENATE("Math_without_Calc IQR for Test ",$B$4,":")</f>
        <v>Math_without_Calc IQR for Test 10:</v>
      </c>
      <c r="L6" s="25">
        <f ca="1">IFERROR(_xlfn.QUARTILE.INC(INDIRECT("Practice_Test_1[" &amp; LEFT(K6,FIND(" ",K6)-1) &amp; "]"),3) - _xlfn.QUARTILE.INC(INDIRECT("Practice_Test_1[" &amp; LEFT(K6,FIND(" ",K6)-1) &amp; "]"),1),0)</f>
        <v>0</v>
      </c>
      <c r="M6" s="19" t="str">
        <f>CONCATENATE("Math_without_Calc IQR for Test ",$D$4,":")</f>
        <v>Math_without_Calc IQR for Test 8:</v>
      </c>
      <c r="N6" s="16">
        <f ca="1">IFERROR(_xlfn.QUARTILE.INC(INDIRECT("Practice_Test_2[" &amp; LEFT(M6,FIND(" ",M6)-1) &amp; "]"),3) - _xlfn.QUARTILE.INC(INDIRECT("Practice_Test_2[" &amp; LEFT(M6,FIND(" ",M6)-1) &amp; "]"),1),0)</f>
        <v>0</v>
      </c>
    </row>
    <row r="7" spans="1:36" ht="28.8" x14ac:dyDescent="0.55000000000000004">
      <c r="A7" s="17"/>
      <c r="B7" s="8"/>
      <c r="C7" s="8"/>
      <c r="D7" s="8"/>
      <c r="E7" s="8"/>
      <c r="G7" s="13" t="str">
        <f>CONCATENATE("Median Math_with_Calc score for Test ",$B$4,":")</f>
        <v>Median Math_with_Calc score for Test 10:</v>
      </c>
      <c r="H7" s="14">
        <f ca="1">IFERROR(_xlfn.QUARTILE.INC(INDIRECT("Practice_Test_1[" &amp; TRIM(MID(G7,FIND(" ",G7),FIND(" s",G7) -FIND(" ",G7))) &amp; "]"),2),0)</f>
        <v>38</v>
      </c>
      <c r="I7" s="15" t="str">
        <f>CONCATENATE("Median Math_with_Calc score for Test ",$D$4,":")</f>
        <v>Median Math_with_Calc score for Test 8:</v>
      </c>
      <c r="J7" s="14">
        <f ca="1">IFERROR(_xlfn.QUARTILE.INC(INDIRECT("Practice_Test_2[" &amp; TRIM(MID(I7,FIND(" ",I7),FIND(" s",I7) -FIND(" ",I7))) &amp; "]"),2),0)</f>
        <v>0</v>
      </c>
      <c r="K7" s="15" t="str">
        <f>CONCATENATE("Math_with_Calc IQR for Test ",$B$4,":")</f>
        <v>Math_with_Calc IQR for Test 10:</v>
      </c>
      <c r="L7" s="25">
        <f ca="1">IFERROR(_xlfn.QUARTILE.INC(INDIRECT("Practice_Test_1[" &amp; LEFT(K7,FIND(" ",K7)-1) &amp; "]"),3) - _xlfn.QUARTILE.INC(INDIRECT("Practice_Test_1[" &amp; LEFT(K7,FIND(" ",K7)-1) &amp; "]"),1),0)</f>
        <v>0</v>
      </c>
      <c r="M7" s="15" t="str">
        <f>CONCATENATE("Math_with_Calc IQR for Test ",$D$4,":")</f>
        <v>Math_with_Calc IQR for Test 8:</v>
      </c>
      <c r="N7" s="16">
        <f ca="1">IFERROR(_xlfn.QUARTILE.INC(INDIRECT("Practice_Test_2[" &amp; LEFT(M7,FIND(" ",M7)-1) &amp; "]"),3) - _xlfn.QUARTILE.INC(INDIRECT("Practice_Test_2[" &amp; LEFT(M7,FIND(" ",M7)-1) &amp; "]"),1),0)</f>
        <v>0</v>
      </c>
    </row>
    <row r="8" spans="1:36" ht="28.8" x14ac:dyDescent="0.55000000000000004">
      <c r="A8" s="17"/>
      <c r="B8" s="8"/>
      <c r="C8" s="8" t="str">
        <f>CONCATENATE("SAT Practice ",B4," versus ","SAT Practice ",D4," Reading Score")</f>
        <v>SAT Practice 10 versus SAT Practice 8 Reading Score</v>
      </c>
      <c r="D8" s="8"/>
      <c r="E8" s="8"/>
      <c r="G8" s="20" t="str">
        <f>CONCATENATE("Median Overall score for Test ",$B$4,":")</f>
        <v>Median Overall score for Test 10:</v>
      </c>
      <c r="H8" s="21">
        <f ca="1">IFERROR(_xlfn.QUARTILE.INC(INDIRECT("Practice_Test_1[" &amp; TRIM(MID(G8,FIND(" ",G8),FIND(" s",G8) -FIND(" ",G8))) &amp; "]"),2),0)</f>
        <v>1260</v>
      </c>
      <c r="I8" s="22" t="str">
        <f>CONCATENATE("Median Overall score for Test ",$D$4,":")</f>
        <v>Median Overall score for Test 8:</v>
      </c>
      <c r="J8" s="21">
        <f ca="1">IFERROR(_xlfn.QUARTILE.INC(INDIRECT("Practice_Test_2[" &amp; TRIM(MID(I8,FIND(" ",I8),FIND(" s",I8) -FIND(" ",I8))) &amp; "]"),2),0)</f>
        <v>0</v>
      </c>
      <c r="K8" s="22" t="str">
        <f>CONCATENATE("Overall IQR for Test ",$B$4,":")</f>
        <v>Overall IQR for Test 10:</v>
      </c>
      <c r="L8" s="27">
        <f ca="1">IFERROR(_xlfn.QUARTILE.INC(INDIRECT("Practice_Test_1[" &amp; LEFT(K8,FIND(" ",K8)-1) &amp; "]"),3) - _xlfn.QUARTILE.INC(INDIRECT("Practice_Test_1[" &amp; LEFT(K8,FIND(" ",K8)-1) &amp; "]"),1),0)</f>
        <v>45</v>
      </c>
      <c r="M8" s="22" t="str">
        <f>CONCATENATE("Overall IQR for Test ",$D$4,":")</f>
        <v>Overall IQR for Test 8:</v>
      </c>
      <c r="N8" s="24">
        <f ca="1">IFERROR(_xlfn.QUARTILE.INC(INDIRECT("Practice_Test_2[" &amp; LEFT(M8,FIND(" ",M8)-1) &amp; "]"),3) - _xlfn.QUARTILE.INC(INDIRECT("Practice_Test_2[" &amp; LEFT(M8,FIND(" ",M8)-1) &amp; "]"),1),0)</f>
        <v>0</v>
      </c>
    </row>
    <row r="9" spans="1:36" ht="6" customHeight="1" thickBot="1" x14ac:dyDescent="0.6">
      <c r="A9" s="17"/>
      <c r="B9" s="8"/>
      <c r="C9" s="8" t="str">
        <f>CONCATENATE("Test ",B4)</f>
        <v>Test 10</v>
      </c>
      <c r="D9" s="8"/>
      <c r="E9" s="8"/>
    </row>
    <row r="10" spans="1:36" x14ac:dyDescent="0.55000000000000004">
      <c r="A10" s="17"/>
      <c r="B10" s="8"/>
      <c r="C10" s="8" t="str">
        <f>CONCATENATE("Test ",D4)</f>
        <v>Test 8</v>
      </c>
      <c r="D10" s="8"/>
      <c r="E10" s="8"/>
      <c r="G10" s="39" t="s">
        <v>19</v>
      </c>
      <c r="H10" s="40"/>
      <c r="I10" s="45">
        <v>1279</v>
      </c>
      <c r="J10" s="40" t="s">
        <v>20</v>
      </c>
      <c r="K10" s="40"/>
      <c r="L10" s="45">
        <v>1540</v>
      </c>
      <c r="M10" s="43" t="s">
        <v>21</v>
      </c>
      <c r="N10" s="47">
        <v>700</v>
      </c>
    </row>
    <row r="11" spans="1:36" ht="27" customHeight="1" thickBot="1" x14ac:dyDescent="0.6">
      <c r="A11" s="17"/>
      <c r="B11" s="8"/>
      <c r="C11" s="8"/>
      <c r="D11" s="8"/>
      <c r="E11" s="8"/>
      <c r="G11" s="41"/>
      <c r="H11" s="42"/>
      <c r="I11" s="46"/>
      <c r="J11" s="42"/>
      <c r="K11" s="42"/>
      <c r="L11" s="46"/>
      <c r="M11" s="44"/>
      <c r="N11" s="48"/>
    </row>
    <row r="12" spans="1:36" x14ac:dyDescent="0.55000000000000004">
      <c r="A12" s="17"/>
      <c r="B12" s="8"/>
      <c r="C12" s="8"/>
      <c r="D12" s="8"/>
      <c r="E12" s="8"/>
    </row>
    <row r="13" spans="1:36" x14ac:dyDescent="0.55000000000000004">
      <c r="A13" s="17"/>
      <c r="B13" s="8"/>
      <c r="C13" s="8"/>
      <c r="D13" s="8"/>
      <c r="E13" s="8"/>
      <c r="G13" s="28"/>
      <c r="H13" s="28"/>
      <c r="I13" s="28" t="s">
        <v>18</v>
      </c>
      <c r="J13" s="28"/>
      <c r="K13" s="28"/>
      <c r="L13" s="28"/>
      <c r="M13" s="28"/>
      <c r="N13" s="28"/>
    </row>
    <row r="14" spans="1:36" ht="28.8" x14ac:dyDescent="0.55000000000000004">
      <c r="A14" s="17"/>
      <c r="B14" s="8"/>
      <c r="C14" s="8"/>
      <c r="D14" s="8"/>
      <c r="E14" s="8"/>
      <c r="G14" s="32" t="s">
        <v>16</v>
      </c>
      <c r="H14" s="28">
        <v>4</v>
      </c>
      <c r="I14" s="33">
        <f>H14/COUNTA(Practice_Test_1[SAT_Practice_Test_Number])</f>
        <v>1</v>
      </c>
      <c r="J14" s="33" t="str">
        <f>IF(I14&gt;0,"Congratulations, you have passed the benchmark for " &amp; ROUND(I14 * 100,0) &amp; "%" &amp; " of Practice " &amp; $B$4 &amp; " Tests","Sorry, you have not passed the benchmark for any Practice " &amp; $B$4 &amp; " Tests")</f>
        <v>Congratulations, you have passed the benchmark for 100% of Practice 10 Tests</v>
      </c>
      <c r="K14" s="33"/>
      <c r="L14" s="28"/>
      <c r="M14" s="28"/>
      <c r="N14" s="28"/>
    </row>
    <row r="15" spans="1:36" ht="28.8" x14ac:dyDescent="0.55000000000000004">
      <c r="A15" s="17"/>
      <c r="B15" s="8"/>
      <c r="C15" s="8"/>
      <c r="D15" s="8"/>
      <c r="E15" s="8"/>
      <c r="G15" s="32" t="s">
        <v>17</v>
      </c>
      <c r="H15" s="28">
        <v>0</v>
      </c>
      <c r="I15" s="33">
        <f>H15/COUNTA(#REF!)</f>
        <v>0</v>
      </c>
      <c r="J15" s="33" t="str">
        <f>IF(I15&gt;0,"Congratulations, you have passed the benchmark for " &amp; ROUND(I15 * 100,0) &amp; "%" &amp; " of Practice " &amp; $D$4 &amp; " Tests","Sorry, you have not passed the benchmark for any Practice " &amp; $D$4 &amp; " Tests")</f>
        <v>Sorry, you have not passed the benchmark for any Practice 8 Tests</v>
      </c>
      <c r="K15" s="33"/>
      <c r="L15" s="28"/>
      <c r="M15" s="28"/>
      <c r="N15" s="28"/>
    </row>
    <row r="16" spans="1:36" ht="9.5500000000000007" customHeight="1" x14ac:dyDescent="0.55000000000000004">
      <c r="A16" s="17"/>
      <c r="B16" s="8"/>
      <c r="C16" s="8"/>
      <c r="D16" s="8"/>
      <c r="E16" s="8"/>
    </row>
    <row r="17" spans="1:14" x14ac:dyDescent="0.55000000000000004">
      <c r="A17" s="17"/>
      <c r="B17" s="49" t="s">
        <v>8</v>
      </c>
      <c r="C17" s="49"/>
      <c r="D17" s="49"/>
      <c r="E17" s="49"/>
      <c r="F17" s="29"/>
      <c r="G17" s="30"/>
      <c r="H17" s="31"/>
      <c r="I17" s="31"/>
      <c r="J17" s="31"/>
      <c r="K17" s="31"/>
      <c r="L17" s="31"/>
      <c r="M17" s="29"/>
      <c r="N17" s="29"/>
    </row>
    <row r="18" spans="1:14" x14ac:dyDescent="0.55000000000000004">
      <c r="A18" s="17"/>
      <c r="B18" s="49"/>
      <c r="C18" s="49"/>
      <c r="D18" s="49"/>
      <c r="E18" s="49"/>
      <c r="F18" s="29"/>
      <c r="G18" s="30"/>
      <c r="H18" s="31"/>
      <c r="I18" s="31"/>
      <c r="J18" s="31"/>
      <c r="K18" s="31"/>
      <c r="L18" s="31"/>
      <c r="M18" s="29"/>
      <c r="N18" s="29"/>
    </row>
    <row r="19" spans="1:14" x14ac:dyDescent="0.55000000000000004">
      <c r="A19" s="17"/>
      <c r="B19" s="28"/>
      <c r="C19" s="28"/>
      <c r="D19" s="28"/>
      <c r="E19" s="8"/>
    </row>
    <row r="20" spans="1:14" x14ac:dyDescent="0.55000000000000004">
      <c r="A20" s="17"/>
      <c r="B20" s="28"/>
      <c r="C20" s="28"/>
      <c r="D20" s="28"/>
      <c r="E20" s="8"/>
    </row>
    <row r="21" spans="1:14" x14ac:dyDescent="0.55000000000000004">
      <c r="A21" s="17"/>
      <c r="B21" s="28"/>
      <c r="C21" s="28"/>
      <c r="D21" s="28"/>
      <c r="E21" s="8"/>
      <c r="G21" s="6"/>
      <c r="H21" s="7"/>
      <c r="I21" s="7"/>
      <c r="J21" s="7"/>
      <c r="K21" s="7"/>
      <c r="L21" s="7"/>
    </row>
    <row r="22" spans="1:14" x14ac:dyDescent="0.55000000000000004">
      <c r="A22" s="17"/>
      <c r="B22" s="28"/>
      <c r="C22" s="28"/>
      <c r="D22" s="28"/>
      <c r="E22" s="8"/>
      <c r="G22" s="6"/>
      <c r="H22" s="7"/>
      <c r="I22" s="7"/>
      <c r="J22" s="7"/>
      <c r="K22" s="7"/>
      <c r="L22" s="7"/>
    </row>
    <row r="23" spans="1:14" x14ac:dyDescent="0.55000000000000004">
      <c r="A23" s="17"/>
      <c r="B23" s="28"/>
      <c r="C23" s="28"/>
      <c r="D23" s="28"/>
      <c r="E23" s="8"/>
      <c r="G23" s="6"/>
      <c r="H23" s="7"/>
      <c r="I23" s="7"/>
      <c r="J23" s="7"/>
      <c r="K23" s="7"/>
      <c r="L23" s="7"/>
    </row>
    <row r="24" spans="1:14" x14ac:dyDescent="0.55000000000000004">
      <c r="A24" s="17"/>
      <c r="B24" s="28"/>
      <c r="C24" s="28"/>
      <c r="D24" s="28"/>
      <c r="E24" s="8"/>
      <c r="G24" s="6"/>
      <c r="H24" s="7"/>
      <c r="I24" s="7"/>
      <c r="J24" s="7"/>
      <c r="K24" s="7"/>
      <c r="L24" s="7"/>
    </row>
    <row r="25" spans="1:14" x14ac:dyDescent="0.55000000000000004">
      <c r="A25" s="17"/>
      <c r="B25" s="28"/>
      <c r="C25" s="28"/>
      <c r="D25" s="28"/>
      <c r="E25" s="8"/>
      <c r="G25" s="6"/>
      <c r="H25" s="7"/>
      <c r="I25" s="7"/>
      <c r="J25" s="7"/>
      <c r="K25" s="7"/>
      <c r="L25" s="7"/>
    </row>
    <row r="26" spans="1:14" x14ac:dyDescent="0.55000000000000004">
      <c r="A26" s="17"/>
      <c r="B26" s="28"/>
      <c r="C26" s="28" t="str">
        <f>CONCATENATE("SAT Practice ",B4," versus ","SAT Practice ",D4," Maths without calc Score")</f>
        <v>SAT Practice 10 versus SAT Practice 8 Maths without calc Score</v>
      </c>
      <c r="D26" s="28"/>
      <c r="E26" s="8"/>
    </row>
    <row r="27" spans="1:14" x14ac:dyDescent="0.55000000000000004">
      <c r="A27" s="17"/>
      <c r="B27" s="28"/>
      <c r="C27" s="28"/>
      <c r="D27" s="28"/>
      <c r="E27" s="8"/>
    </row>
    <row r="28" spans="1:14" x14ac:dyDescent="0.55000000000000004">
      <c r="A28" s="17"/>
      <c r="B28" s="28"/>
      <c r="C28" s="28"/>
      <c r="D28" s="28"/>
      <c r="E28" s="8"/>
      <c r="G28" s="6"/>
      <c r="H28" s="7"/>
      <c r="I28" s="7"/>
      <c r="J28" s="7"/>
      <c r="K28" s="7"/>
      <c r="L28" s="7"/>
    </row>
    <row r="29" spans="1:14" x14ac:dyDescent="0.55000000000000004">
      <c r="A29" s="17"/>
      <c r="B29" s="28"/>
      <c r="C29" s="28"/>
      <c r="D29" s="28"/>
      <c r="E29" s="8"/>
    </row>
    <row r="30" spans="1:14" x14ac:dyDescent="0.55000000000000004">
      <c r="A30" s="17"/>
      <c r="B30" s="28"/>
      <c r="C30" s="28"/>
      <c r="D30" s="28"/>
      <c r="E30" s="8"/>
    </row>
    <row r="31" spans="1:14" x14ac:dyDescent="0.55000000000000004">
      <c r="A31" s="17"/>
      <c r="B31" s="28"/>
      <c r="C31" s="28"/>
      <c r="D31" s="28"/>
      <c r="E31" s="8"/>
    </row>
    <row r="32" spans="1:14" x14ac:dyDescent="0.55000000000000004">
      <c r="A32" s="17"/>
      <c r="B32" s="28"/>
      <c r="C32" s="28"/>
      <c r="D32" s="28"/>
      <c r="E32" s="8"/>
    </row>
    <row r="33" spans="1:12" x14ac:dyDescent="0.55000000000000004">
      <c r="A33" s="17"/>
      <c r="B33" s="28"/>
      <c r="C33" s="28"/>
      <c r="D33" s="28"/>
      <c r="E33" s="8"/>
    </row>
    <row r="34" spans="1:12" x14ac:dyDescent="0.55000000000000004">
      <c r="A34" s="17"/>
      <c r="B34" s="28"/>
      <c r="C34" s="28"/>
      <c r="D34" s="28"/>
      <c r="E34" s="8"/>
      <c r="G34" s="6"/>
      <c r="H34" s="7"/>
      <c r="I34" s="7"/>
      <c r="J34" s="7"/>
      <c r="K34" s="7"/>
      <c r="L34" s="7"/>
    </row>
    <row r="35" spans="1:12" x14ac:dyDescent="0.55000000000000004">
      <c r="A35" s="17"/>
      <c r="B35" s="28"/>
      <c r="C35" s="28"/>
      <c r="D35" s="28"/>
      <c r="E35" s="8"/>
    </row>
    <row r="36" spans="1:12" x14ac:dyDescent="0.55000000000000004">
      <c r="A36" s="17"/>
      <c r="B36" s="28"/>
      <c r="C36" s="28"/>
      <c r="D36" s="28"/>
      <c r="E36" s="8"/>
    </row>
    <row r="37" spans="1:12" x14ac:dyDescent="0.55000000000000004">
      <c r="A37" s="17"/>
      <c r="B37" s="28"/>
      <c r="C37" s="28"/>
      <c r="D37" s="28"/>
      <c r="E37" s="8"/>
    </row>
    <row r="38" spans="1:12" x14ac:dyDescent="0.55000000000000004">
      <c r="A38" s="17"/>
      <c r="B38" s="28"/>
      <c r="C38" s="28"/>
      <c r="D38" s="28"/>
      <c r="E38" s="8"/>
    </row>
    <row r="39" spans="1:12" x14ac:dyDescent="0.55000000000000004">
      <c r="A39" s="17"/>
      <c r="B39" s="28"/>
      <c r="C39" s="28"/>
      <c r="D39" s="28"/>
      <c r="E39" s="8"/>
    </row>
    <row r="40" spans="1:12" x14ac:dyDescent="0.55000000000000004">
      <c r="A40" s="17"/>
      <c r="B40" s="28"/>
      <c r="C40" s="28"/>
      <c r="D40" s="28"/>
      <c r="E40" s="8"/>
    </row>
    <row r="41" spans="1:12" x14ac:dyDescent="0.55000000000000004">
      <c r="A41" s="17"/>
      <c r="B41" s="28"/>
      <c r="C41" s="28"/>
      <c r="D41" s="28"/>
      <c r="E41" s="8"/>
    </row>
    <row r="42" spans="1:12" x14ac:dyDescent="0.55000000000000004">
      <c r="A42" s="17"/>
      <c r="B42" s="28"/>
      <c r="C42" s="28"/>
      <c r="D42" s="28"/>
      <c r="E42" s="8"/>
    </row>
    <row r="43" spans="1:12" x14ac:dyDescent="0.55000000000000004">
      <c r="A43" s="17"/>
      <c r="B43" s="28"/>
      <c r="C43" s="28"/>
      <c r="D43" s="28"/>
      <c r="E43" s="8"/>
    </row>
    <row r="44" spans="1:12" x14ac:dyDescent="0.55000000000000004">
      <c r="A44" s="17"/>
      <c r="B44" s="28"/>
      <c r="C44" s="28" t="str">
        <f>CONCATENATE("SAT Practice ",B4," versus ","SAT Practice ",D4," Math with Calc Score")</f>
        <v>SAT Practice 10 versus SAT Practice 8 Math with Calc Score</v>
      </c>
      <c r="D44" s="28"/>
      <c r="E44" s="8"/>
    </row>
    <row r="45" spans="1:12" x14ac:dyDescent="0.55000000000000004">
      <c r="A45" s="17"/>
      <c r="B45" s="28"/>
      <c r="C45" s="28"/>
      <c r="D45" s="28"/>
      <c r="E45" s="8"/>
    </row>
    <row r="46" spans="1:12" x14ac:dyDescent="0.55000000000000004">
      <c r="A46" s="17"/>
      <c r="B46" s="28"/>
      <c r="C46" s="28"/>
      <c r="D46" s="28"/>
      <c r="E46" s="8"/>
    </row>
    <row r="47" spans="1:12" x14ac:dyDescent="0.55000000000000004">
      <c r="A47" s="17"/>
      <c r="B47" s="28"/>
      <c r="C47" s="28"/>
      <c r="D47" s="28"/>
      <c r="E47" s="8"/>
    </row>
    <row r="48" spans="1:12" x14ac:dyDescent="0.55000000000000004">
      <c r="A48" s="17"/>
      <c r="B48" s="28"/>
      <c r="C48" s="28"/>
      <c r="D48" s="28"/>
      <c r="E48" s="8"/>
    </row>
    <row r="49" spans="1:5" x14ac:dyDescent="0.55000000000000004">
      <c r="A49" s="17"/>
      <c r="B49" s="28"/>
      <c r="C49" s="28"/>
      <c r="D49" s="28"/>
      <c r="E49" s="8"/>
    </row>
    <row r="50" spans="1:5" x14ac:dyDescent="0.55000000000000004">
      <c r="A50" s="17"/>
      <c r="B50" s="28"/>
      <c r="C50" s="28"/>
      <c r="D50" s="28"/>
      <c r="E50" s="8"/>
    </row>
    <row r="51" spans="1:5" x14ac:dyDescent="0.55000000000000004">
      <c r="A51" s="17"/>
      <c r="B51" s="28"/>
      <c r="C51" s="28"/>
      <c r="D51" s="28"/>
      <c r="E51" s="8"/>
    </row>
    <row r="52" spans="1:5" x14ac:dyDescent="0.55000000000000004">
      <c r="A52" s="17"/>
      <c r="B52" s="28"/>
      <c r="C52" s="28"/>
      <c r="D52" s="28"/>
      <c r="E52" s="8"/>
    </row>
    <row r="53" spans="1:5" x14ac:dyDescent="0.55000000000000004">
      <c r="A53" s="17"/>
      <c r="B53" s="28"/>
      <c r="C53" s="28"/>
      <c r="D53" s="28"/>
      <c r="E53" s="8"/>
    </row>
    <row r="54" spans="1:5" x14ac:dyDescent="0.55000000000000004">
      <c r="A54" s="17"/>
      <c r="B54" s="28"/>
      <c r="C54" s="28"/>
      <c r="D54" s="28"/>
      <c r="E54" s="8"/>
    </row>
    <row r="55" spans="1:5" x14ac:dyDescent="0.55000000000000004">
      <c r="A55" s="17"/>
      <c r="B55" s="28"/>
      <c r="C55" s="28"/>
      <c r="D55" s="28"/>
      <c r="E55" s="8"/>
    </row>
    <row r="56" spans="1:5" x14ac:dyDescent="0.55000000000000004">
      <c r="A56" s="17"/>
      <c r="B56" s="28"/>
      <c r="C56" s="28"/>
      <c r="D56" s="28"/>
      <c r="E56" s="8"/>
    </row>
    <row r="57" spans="1:5" x14ac:dyDescent="0.55000000000000004">
      <c r="A57" s="17"/>
      <c r="B57" s="28"/>
      <c r="C57" s="28"/>
      <c r="D57" s="28"/>
      <c r="E57" s="8"/>
    </row>
    <row r="58" spans="1:5" x14ac:dyDescent="0.55000000000000004">
      <c r="A58" s="17"/>
      <c r="B58" s="28"/>
      <c r="C58" s="28"/>
      <c r="D58" s="28"/>
      <c r="E58" s="8"/>
    </row>
    <row r="59" spans="1:5" x14ac:dyDescent="0.55000000000000004">
      <c r="A59" s="17"/>
      <c r="B59" s="28"/>
      <c r="C59" s="28" t="str">
        <f>CONCATENATE("SAT Practice ",B4," versus ","SAT Practice ",D4," Overall Score")</f>
        <v>SAT Practice 10 versus SAT Practice 8 Overall Score</v>
      </c>
      <c r="D59" s="28"/>
      <c r="E59" s="8"/>
    </row>
    <row r="60" spans="1:5" x14ac:dyDescent="0.55000000000000004">
      <c r="A60" s="17"/>
      <c r="B60" s="28"/>
      <c r="C60" s="28"/>
      <c r="D60" s="28"/>
      <c r="E60" s="8"/>
    </row>
    <row r="61" spans="1:5" x14ac:dyDescent="0.55000000000000004">
      <c r="A61" s="17"/>
      <c r="B61" s="28"/>
      <c r="C61" s="28"/>
      <c r="D61" s="28"/>
      <c r="E61" s="8"/>
    </row>
    <row r="62" spans="1:5" x14ac:dyDescent="0.55000000000000004">
      <c r="A62" s="17"/>
      <c r="B62" s="28"/>
      <c r="C62" s="28"/>
      <c r="D62" s="28"/>
      <c r="E62" s="8"/>
    </row>
    <row r="63" spans="1:5" x14ac:dyDescent="0.55000000000000004">
      <c r="A63" s="17"/>
      <c r="B63" s="28"/>
      <c r="C63" s="28"/>
      <c r="D63" s="28"/>
      <c r="E63" s="8"/>
    </row>
    <row r="64" spans="1:5" x14ac:dyDescent="0.55000000000000004">
      <c r="A64" s="17"/>
      <c r="B64" s="28"/>
      <c r="C64" s="28"/>
      <c r="D64" s="28"/>
      <c r="E64" s="8"/>
    </row>
    <row r="65" spans="1:12" x14ac:dyDescent="0.55000000000000004">
      <c r="A65" s="17"/>
      <c r="B65" s="28"/>
      <c r="C65" s="28"/>
      <c r="D65" s="28"/>
      <c r="E65" s="8"/>
    </row>
    <row r="66" spans="1:12" x14ac:dyDescent="0.55000000000000004">
      <c r="A66" s="17"/>
      <c r="B66" s="28"/>
      <c r="C66" s="28"/>
      <c r="D66" s="28"/>
      <c r="E66" s="8"/>
    </row>
    <row r="67" spans="1:12" x14ac:dyDescent="0.55000000000000004">
      <c r="A67" s="17"/>
      <c r="B67" s="28"/>
      <c r="C67" s="28"/>
      <c r="D67" s="28"/>
      <c r="E67" s="8"/>
    </row>
    <row r="68" spans="1:12" x14ac:dyDescent="0.55000000000000004">
      <c r="A68" s="17"/>
      <c r="B68" s="28"/>
      <c r="C68" s="28"/>
      <c r="D68" s="28"/>
      <c r="E68" s="8"/>
    </row>
    <row r="69" spans="1:12" x14ac:dyDescent="0.55000000000000004">
      <c r="A69" s="17"/>
      <c r="B69" s="28"/>
      <c r="C69" s="28"/>
      <c r="D69" s="28"/>
      <c r="E69" s="8"/>
    </row>
    <row r="70" spans="1:12" x14ac:dyDescent="0.55000000000000004">
      <c r="A70" s="17"/>
      <c r="B70" s="28"/>
      <c r="C70" s="28"/>
      <c r="D70" s="28"/>
      <c r="E70" s="8"/>
      <c r="G70" s="6"/>
      <c r="H70" s="7"/>
      <c r="I70" s="7"/>
      <c r="J70" s="7"/>
      <c r="K70" s="7"/>
      <c r="L70" s="7"/>
    </row>
    <row r="71" spans="1:12" x14ac:dyDescent="0.55000000000000004">
      <c r="A71" s="17"/>
      <c r="B71" s="28"/>
      <c r="C71" s="28"/>
      <c r="D71" s="28"/>
      <c r="E71" s="8"/>
      <c r="G71" s="6"/>
      <c r="H71" s="7"/>
      <c r="I71" s="7"/>
      <c r="J71" s="7"/>
      <c r="K71" s="7"/>
      <c r="L71" s="7"/>
    </row>
    <row r="72" spans="1:12" x14ac:dyDescent="0.55000000000000004">
      <c r="A72" s="17"/>
      <c r="B72" s="28"/>
      <c r="C72" s="28" t="str">
        <f>CONCATENATE("SAT Practice ",B4," versus ","SAT Practice ",D4," Writing Score")</f>
        <v>SAT Practice 10 versus SAT Practice 8 Writing Score</v>
      </c>
      <c r="D72" s="28"/>
      <c r="E72" s="8"/>
    </row>
    <row r="73" spans="1:12" x14ac:dyDescent="0.55000000000000004">
      <c r="A73" s="17"/>
      <c r="B73" s="28"/>
      <c r="C73" s="28"/>
      <c r="D73" s="28"/>
      <c r="E73" s="8"/>
    </row>
    <row r="74" spans="1:12" x14ac:dyDescent="0.55000000000000004">
      <c r="A74" s="17"/>
      <c r="B74" s="28"/>
      <c r="C74" s="28"/>
      <c r="D74" s="28"/>
      <c r="E74" s="8"/>
    </row>
    <row r="75" spans="1:12" x14ac:dyDescent="0.55000000000000004">
      <c r="A75" s="17"/>
      <c r="B75" s="28"/>
      <c r="C75" s="28"/>
      <c r="D75" s="28"/>
      <c r="E75" s="8"/>
    </row>
    <row r="76" spans="1:12" x14ac:dyDescent="0.55000000000000004">
      <c r="A76" s="17"/>
      <c r="B76" s="28"/>
      <c r="C76" s="28"/>
      <c r="D76" s="28"/>
      <c r="E76" s="8"/>
    </row>
    <row r="77" spans="1:12" x14ac:dyDescent="0.55000000000000004">
      <c r="A77" s="17"/>
      <c r="B77" s="28"/>
      <c r="C77" s="28"/>
      <c r="D77" s="28"/>
      <c r="E77" s="8"/>
    </row>
    <row r="78" spans="1:12" x14ac:dyDescent="0.55000000000000004">
      <c r="A78" s="17"/>
      <c r="B78" s="28"/>
      <c r="C78" s="28"/>
      <c r="D78" s="28"/>
      <c r="E78" s="8"/>
    </row>
    <row r="79" spans="1:12" x14ac:dyDescent="0.55000000000000004">
      <c r="A79" s="17"/>
      <c r="B79" s="28"/>
      <c r="C79" s="28"/>
      <c r="D79" s="28"/>
      <c r="E79" s="8"/>
    </row>
    <row r="80" spans="1:12" x14ac:dyDescent="0.55000000000000004">
      <c r="A80" s="17"/>
      <c r="B80" s="28"/>
      <c r="C80" s="28"/>
      <c r="D80" s="28"/>
      <c r="E80" s="8"/>
    </row>
    <row r="81" spans="1:12" x14ac:dyDescent="0.55000000000000004">
      <c r="A81" s="17"/>
      <c r="B81" s="28"/>
      <c r="C81" s="28"/>
      <c r="D81" s="28"/>
      <c r="E81" s="8"/>
    </row>
    <row r="82" spans="1:12" x14ac:dyDescent="0.55000000000000004">
      <c r="A82" s="17"/>
      <c r="B82" s="28"/>
      <c r="C82" s="28"/>
      <c r="D82" s="28"/>
      <c r="E82" s="8"/>
      <c r="G82" s="6"/>
      <c r="H82" s="7"/>
      <c r="I82" s="7"/>
      <c r="J82" s="7"/>
      <c r="K82" s="7"/>
      <c r="L82" s="7"/>
    </row>
    <row r="83" spans="1:12" x14ac:dyDescent="0.55000000000000004">
      <c r="A83" s="17"/>
      <c r="B83" s="28"/>
      <c r="C83" s="28"/>
      <c r="D83" s="28"/>
      <c r="E83" s="8"/>
      <c r="G83" s="6"/>
      <c r="H83" s="7"/>
      <c r="I83" s="7"/>
      <c r="J83" s="7"/>
      <c r="K83" s="7"/>
      <c r="L83" s="7"/>
    </row>
    <row r="84" spans="1:12" x14ac:dyDescent="0.55000000000000004">
      <c r="A84" s="17"/>
      <c r="B84" s="28"/>
      <c r="C84" s="28"/>
      <c r="D84" s="28"/>
      <c r="E84" s="8"/>
      <c r="G84" s="6"/>
      <c r="H84" s="7"/>
      <c r="I84" s="7"/>
      <c r="J84" s="7"/>
      <c r="K84" s="7"/>
      <c r="L84" s="7"/>
    </row>
    <row r="85" spans="1:12" x14ac:dyDescent="0.55000000000000004">
      <c r="A85" s="17"/>
      <c r="B85" s="28"/>
      <c r="C85" s="28"/>
      <c r="D85" s="28"/>
      <c r="E85" s="8"/>
      <c r="G85" s="6"/>
      <c r="H85" s="7"/>
      <c r="I85" s="7"/>
      <c r="J85" s="7"/>
      <c r="K85" s="7"/>
      <c r="L85" s="7"/>
    </row>
    <row r="86" spans="1:12" x14ac:dyDescent="0.55000000000000004">
      <c r="A86" s="17"/>
      <c r="B86" s="28"/>
      <c r="C86" s="28"/>
      <c r="D86" s="28"/>
      <c r="E86" s="8"/>
      <c r="G86" s="6"/>
      <c r="H86" s="7"/>
      <c r="I86" s="7"/>
      <c r="J86" s="7"/>
      <c r="K86" s="7"/>
      <c r="L86" s="7"/>
    </row>
    <row r="87" spans="1:12" x14ac:dyDescent="0.55000000000000004">
      <c r="A87" s="17"/>
      <c r="B87" s="28"/>
      <c r="C87" s="28"/>
      <c r="D87" s="28"/>
      <c r="E87" s="8"/>
      <c r="G87" s="6"/>
      <c r="H87" s="7"/>
      <c r="I87" s="7"/>
      <c r="J87" s="7"/>
      <c r="K87" s="7"/>
      <c r="L87" s="7"/>
    </row>
    <row r="88" spans="1:12" x14ac:dyDescent="0.55000000000000004">
      <c r="A88" s="17"/>
      <c r="B88" s="28"/>
      <c r="C88" s="28"/>
      <c r="D88" s="28"/>
      <c r="E88" s="8"/>
      <c r="G88" s="6"/>
      <c r="H88" s="7"/>
      <c r="I88" s="7"/>
      <c r="J88" s="7"/>
      <c r="K88" s="7"/>
      <c r="L88" s="7"/>
    </row>
    <row r="89" spans="1:12" x14ac:dyDescent="0.55000000000000004">
      <c r="A89" s="17"/>
      <c r="B89" s="28"/>
      <c r="C89" s="28"/>
      <c r="D89" s="28"/>
      <c r="E89" s="8"/>
      <c r="G89" s="6"/>
      <c r="H89" s="7"/>
      <c r="I89" s="7"/>
      <c r="J89" s="7"/>
      <c r="K89" s="7"/>
      <c r="L89" s="7"/>
    </row>
    <row r="90" spans="1:12" x14ac:dyDescent="0.55000000000000004">
      <c r="A90" s="17"/>
      <c r="B90" s="28"/>
      <c r="C90" s="28"/>
      <c r="D90" s="28"/>
      <c r="E90" s="8"/>
      <c r="G90" s="6"/>
      <c r="H90" s="7"/>
      <c r="I90" s="7"/>
      <c r="J90" s="7"/>
      <c r="K90" s="7"/>
      <c r="L90" s="7"/>
    </row>
    <row r="91" spans="1:12" x14ac:dyDescent="0.55000000000000004">
      <c r="A91" s="17"/>
      <c r="B91" s="28"/>
      <c r="C91" s="28"/>
      <c r="D91" s="28"/>
      <c r="E91" s="8"/>
      <c r="G91" s="6"/>
      <c r="H91" s="7"/>
      <c r="I91" s="7"/>
      <c r="J91" s="7"/>
      <c r="K91" s="7"/>
      <c r="L91" s="7"/>
    </row>
    <row r="92" spans="1:12" x14ac:dyDescent="0.55000000000000004">
      <c r="A92" s="17"/>
      <c r="B92" s="28"/>
      <c r="C92" s="28"/>
      <c r="D92" s="28"/>
      <c r="E92" s="8"/>
      <c r="G92" s="6"/>
      <c r="H92" s="7"/>
      <c r="I92" s="7"/>
      <c r="J92" s="7"/>
      <c r="K92" s="7"/>
      <c r="L92" s="7"/>
    </row>
    <row r="93" spans="1:12" x14ac:dyDescent="0.55000000000000004">
      <c r="A93" s="17"/>
      <c r="B93" s="28"/>
      <c r="C93" s="28"/>
      <c r="D93" s="28"/>
      <c r="E93" s="8"/>
      <c r="G93" s="6"/>
      <c r="H93" s="7"/>
      <c r="I93" s="7"/>
      <c r="J93" s="7"/>
      <c r="K93" s="7"/>
      <c r="L93" s="7"/>
    </row>
    <row r="94" spans="1:12" x14ac:dyDescent="0.55000000000000004">
      <c r="A94" s="17"/>
      <c r="B94" s="28"/>
      <c r="C94" s="28"/>
      <c r="D94" s="28"/>
      <c r="E94" s="8"/>
      <c r="G94" s="6"/>
      <c r="H94" s="7"/>
      <c r="I94" s="7"/>
      <c r="J94" s="7"/>
      <c r="K94" s="7"/>
      <c r="L94" s="7"/>
    </row>
    <row r="95" spans="1:12" x14ac:dyDescent="0.55000000000000004">
      <c r="A95" s="17"/>
      <c r="B95" s="28"/>
      <c r="C95" s="28"/>
      <c r="D95" s="28"/>
      <c r="E95" s="8"/>
      <c r="G95" s="6"/>
      <c r="H95" s="7"/>
      <c r="I95" s="7"/>
      <c r="J95" s="7"/>
      <c r="K95" s="7"/>
      <c r="L95" s="7"/>
    </row>
    <row r="96" spans="1:12" x14ac:dyDescent="0.55000000000000004">
      <c r="A96" s="17"/>
      <c r="B96" s="28"/>
      <c r="C96" s="28"/>
      <c r="D96" s="28"/>
      <c r="E96" s="8"/>
    </row>
    <row r="97" spans="1:12" x14ac:dyDescent="0.55000000000000004">
      <c r="A97" s="17"/>
      <c r="B97" s="28"/>
      <c r="C97" s="28"/>
      <c r="D97" s="28"/>
      <c r="E97" s="8"/>
    </row>
    <row r="98" spans="1:12" x14ac:dyDescent="0.55000000000000004">
      <c r="A98" s="17"/>
      <c r="B98" s="28"/>
      <c r="C98" s="28"/>
      <c r="D98" s="28"/>
      <c r="E98" s="8"/>
      <c r="G98" s="6"/>
      <c r="H98" s="7"/>
      <c r="I98" s="7"/>
      <c r="J98" s="7"/>
      <c r="K98" s="7"/>
      <c r="L98" s="7"/>
    </row>
    <row r="99" spans="1:12" x14ac:dyDescent="0.55000000000000004">
      <c r="A99" s="17"/>
      <c r="B99" s="28"/>
      <c r="C99" s="28"/>
      <c r="D99" s="28"/>
      <c r="E99" s="8"/>
      <c r="G99" s="6"/>
      <c r="H99" s="7"/>
      <c r="I99" s="7"/>
      <c r="J99" s="7"/>
      <c r="K99" s="7"/>
      <c r="L99" s="7"/>
    </row>
    <row r="100" spans="1:12" x14ac:dyDescent="0.55000000000000004">
      <c r="A100" s="17"/>
      <c r="B100" s="28"/>
      <c r="C100" s="28"/>
      <c r="D100" s="28"/>
      <c r="E100" s="8"/>
      <c r="G100" s="6"/>
      <c r="H100" s="7"/>
      <c r="I100" s="7"/>
      <c r="J100" s="7"/>
      <c r="K100" s="7"/>
      <c r="L100" s="7"/>
    </row>
    <row r="101" spans="1:12" x14ac:dyDescent="0.55000000000000004">
      <c r="A101" s="17"/>
      <c r="B101" s="28"/>
      <c r="C101" s="28"/>
      <c r="D101" s="28"/>
      <c r="E101" s="8"/>
      <c r="G101" s="6"/>
      <c r="H101" s="7"/>
      <c r="I101" s="7"/>
      <c r="J101" s="7"/>
      <c r="K101" s="7"/>
      <c r="L101" s="7"/>
    </row>
    <row r="102" spans="1:12" x14ac:dyDescent="0.55000000000000004">
      <c r="A102" s="17"/>
      <c r="B102" s="28"/>
      <c r="C102" s="28"/>
      <c r="D102" s="28"/>
      <c r="E102" s="8"/>
      <c r="G102" s="6"/>
      <c r="H102" s="7"/>
      <c r="I102" s="7"/>
      <c r="J102" s="7"/>
      <c r="K102" s="7"/>
      <c r="L102" s="7"/>
    </row>
    <row r="103" spans="1:12" x14ac:dyDescent="0.55000000000000004">
      <c r="A103" s="17"/>
      <c r="B103" s="28"/>
      <c r="C103" s="28"/>
      <c r="D103" s="28"/>
      <c r="E103" s="8"/>
      <c r="G103" s="6"/>
      <c r="H103" s="7"/>
      <c r="I103" s="7"/>
      <c r="J103" s="7"/>
      <c r="K103" s="7"/>
      <c r="L103" s="7"/>
    </row>
    <row r="104" spans="1:12" x14ac:dyDescent="0.55000000000000004">
      <c r="A104" s="17"/>
      <c r="B104" s="28"/>
      <c r="C104" s="28"/>
      <c r="D104" s="28"/>
      <c r="E104" s="8"/>
      <c r="G104" s="6"/>
      <c r="H104" s="7"/>
      <c r="I104" s="7"/>
      <c r="J104" s="7"/>
      <c r="K104" s="7"/>
      <c r="L104" s="7"/>
    </row>
    <row r="105" spans="1:12" x14ac:dyDescent="0.55000000000000004">
      <c r="A105" s="17"/>
      <c r="B105" s="28"/>
      <c r="C105" s="28"/>
      <c r="D105" s="28"/>
      <c r="E105" s="8"/>
      <c r="G105" s="6"/>
      <c r="H105" s="7"/>
      <c r="I105" s="7"/>
      <c r="J105" s="7"/>
      <c r="K105" s="7"/>
      <c r="L105" s="7"/>
    </row>
    <row r="106" spans="1:12" x14ac:dyDescent="0.55000000000000004">
      <c r="A106" s="17"/>
      <c r="B106" s="28"/>
      <c r="C106" s="28"/>
      <c r="D106" s="28"/>
      <c r="E106" s="8"/>
      <c r="G106" s="6"/>
      <c r="H106" s="7"/>
      <c r="I106" s="7"/>
      <c r="J106" s="7"/>
      <c r="K106" s="7"/>
      <c r="L106" s="7"/>
    </row>
    <row r="107" spans="1:12" x14ac:dyDescent="0.55000000000000004">
      <c r="A107" s="17"/>
      <c r="B107" s="28"/>
      <c r="C107" s="28"/>
      <c r="D107" s="28"/>
      <c r="E107" s="8"/>
      <c r="G107" s="6"/>
      <c r="H107" s="7"/>
      <c r="I107" s="7"/>
      <c r="J107" s="7"/>
      <c r="K107" s="7"/>
      <c r="L107" s="7"/>
    </row>
    <row r="108" spans="1:12" x14ac:dyDescent="0.55000000000000004">
      <c r="A108" s="17"/>
      <c r="B108" s="28"/>
      <c r="C108" s="28"/>
      <c r="D108" s="28"/>
      <c r="E108" s="8"/>
      <c r="G108" s="6"/>
      <c r="H108" s="7"/>
      <c r="I108" s="7"/>
      <c r="J108" s="7"/>
      <c r="K108" s="7"/>
      <c r="L108" s="7"/>
    </row>
    <row r="109" spans="1:12" x14ac:dyDescent="0.55000000000000004">
      <c r="A109" s="17"/>
      <c r="B109" s="28"/>
      <c r="C109" s="28"/>
      <c r="D109" s="28"/>
      <c r="E109" s="8"/>
      <c r="G109" s="6"/>
      <c r="H109" s="7"/>
      <c r="I109" s="7"/>
      <c r="J109" s="7"/>
      <c r="K109" s="7"/>
      <c r="L109" s="7"/>
    </row>
    <row r="110" spans="1:12" x14ac:dyDescent="0.55000000000000004">
      <c r="A110" s="17"/>
      <c r="B110" s="28"/>
      <c r="C110" s="28"/>
      <c r="D110" s="28"/>
      <c r="E110" s="8"/>
      <c r="G110" s="6"/>
      <c r="H110" s="7"/>
      <c r="I110" s="7"/>
      <c r="J110" s="7"/>
      <c r="K110" s="7"/>
      <c r="L110" s="7"/>
    </row>
    <row r="111" spans="1:12" x14ac:dyDescent="0.55000000000000004">
      <c r="A111" s="17"/>
      <c r="B111" s="28"/>
      <c r="C111" s="28"/>
      <c r="D111" s="28"/>
      <c r="E111" s="8"/>
      <c r="G111" s="6"/>
      <c r="H111" s="7"/>
      <c r="I111" s="7"/>
      <c r="J111" s="7"/>
      <c r="K111" s="7"/>
      <c r="L111" s="7"/>
    </row>
    <row r="112" spans="1:12" x14ac:dyDescent="0.55000000000000004">
      <c r="A112" s="17"/>
      <c r="B112" s="28"/>
      <c r="C112" s="28"/>
      <c r="D112" s="28"/>
      <c r="E112" s="8"/>
      <c r="G112" s="6"/>
      <c r="H112" s="7"/>
      <c r="I112" s="7"/>
      <c r="J112" s="7"/>
      <c r="K112" s="7"/>
      <c r="L112" s="7"/>
    </row>
    <row r="113" spans="1:12" x14ac:dyDescent="0.55000000000000004">
      <c r="A113" s="17"/>
      <c r="B113" s="28"/>
      <c r="C113" s="28"/>
      <c r="D113" s="28"/>
      <c r="E113" s="8"/>
      <c r="G113" s="6"/>
      <c r="H113" s="7"/>
      <c r="I113" s="7"/>
      <c r="J113" s="7"/>
      <c r="K113" s="7"/>
      <c r="L113" s="7"/>
    </row>
    <row r="114" spans="1:12" x14ac:dyDescent="0.55000000000000004">
      <c r="A114" s="17"/>
      <c r="B114" s="28"/>
      <c r="C114" s="28"/>
      <c r="D114" s="28"/>
      <c r="E114" s="8"/>
      <c r="G114" s="6"/>
      <c r="H114" s="7"/>
      <c r="I114" s="7"/>
      <c r="J114" s="7"/>
      <c r="K114" s="7"/>
      <c r="L114" s="7"/>
    </row>
    <row r="115" spans="1:12" x14ac:dyDescent="0.55000000000000004">
      <c r="A115" s="17"/>
      <c r="B115" s="28"/>
      <c r="C115" s="28"/>
      <c r="D115" s="28"/>
      <c r="E115" s="8"/>
      <c r="G115" s="6"/>
      <c r="H115" s="7"/>
      <c r="I115" s="7"/>
      <c r="J115" s="7"/>
      <c r="K115" s="7"/>
      <c r="L115" s="7"/>
    </row>
    <row r="116" spans="1:12" x14ac:dyDescent="0.55000000000000004">
      <c r="B116" s="28"/>
      <c r="C116" s="28"/>
      <c r="D116" s="28"/>
      <c r="E116" s="8"/>
      <c r="G116" s="6"/>
      <c r="H116" s="7"/>
      <c r="I116" s="7"/>
      <c r="J116" s="7"/>
      <c r="K116" s="7"/>
      <c r="L116" s="7"/>
    </row>
    <row r="117" spans="1:12" x14ac:dyDescent="0.55000000000000004">
      <c r="B117" s="28"/>
      <c r="C117" s="28"/>
      <c r="D117" s="28"/>
      <c r="E117" s="8"/>
      <c r="G117" s="6"/>
      <c r="H117" s="7"/>
      <c r="I117" s="7"/>
      <c r="J117" s="7"/>
      <c r="K117" s="7"/>
      <c r="L117" s="7"/>
    </row>
    <row r="118" spans="1:12" x14ac:dyDescent="0.55000000000000004">
      <c r="B118" s="28"/>
      <c r="C118" s="28"/>
      <c r="D118" s="28"/>
      <c r="E118" s="8"/>
      <c r="G118" s="6"/>
      <c r="H118" s="7"/>
      <c r="I118" s="7"/>
      <c r="J118" s="7"/>
      <c r="K118" s="7"/>
      <c r="L118" s="7"/>
    </row>
    <row r="119" spans="1:12" x14ac:dyDescent="0.55000000000000004">
      <c r="B119" s="28"/>
      <c r="C119" s="28"/>
      <c r="D119" s="28"/>
      <c r="E119" s="8"/>
      <c r="G119" s="6"/>
      <c r="H119" s="7"/>
      <c r="I119" s="7"/>
      <c r="J119" s="7"/>
      <c r="K119" s="7"/>
      <c r="L119" s="7"/>
    </row>
    <row r="120" spans="1:12" x14ac:dyDescent="0.55000000000000004">
      <c r="B120" s="28"/>
      <c r="C120" s="28"/>
      <c r="D120" s="28"/>
      <c r="E120" s="8"/>
    </row>
    <row r="121" spans="1:12" x14ac:dyDescent="0.55000000000000004">
      <c r="B121" s="28"/>
      <c r="C121" s="28"/>
      <c r="D121" s="28"/>
      <c r="E121" s="8"/>
    </row>
    <row r="122" spans="1:12" x14ac:dyDescent="0.55000000000000004">
      <c r="B122" s="28"/>
      <c r="C122" s="28"/>
      <c r="D122" s="28"/>
      <c r="E122" s="8"/>
      <c r="G122" s="6"/>
      <c r="H122" s="7"/>
      <c r="I122" s="7"/>
      <c r="J122" s="7"/>
      <c r="K122" s="7"/>
      <c r="L122" s="7"/>
    </row>
    <row r="123" spans="1:12" x14ac:dyDescent="0.55000000000000004">
      <c r="B123" s="28"/>
      <c r="C123" s="28"/>
      <c r="D123" s="28"/>
      <c r="E123" s="8"/>
      <c r="G123" s="6"/>
      <c r="H123" s="7"/>
      <c r="I123" s="7"/>
      <c r="J123" s="7"/>
      <c r="K123" s="7"/>
      <c r="L123" s="7"/>
    </row>
    <row r="124" spans="1:12" x14ac:dyDescent="0.55000000000000004">
      <c r="B124" s="28"/>
      <c r="C124" s="28"/>
      <c r="D124" s="28"/>
      <c r="E124" s="8"/>
    </row>
    <row r="125" spans="1:12" x14ac:dyDescent="0.55000000000000004">
      <c r="B125" s="28"/>
      <c r="C125" s="28"/>
      <c r="D125" s="28"/>
      <c r="E125" s="8"/>
    </row>
    <row r="126" spans="1:12" x14ac:dyDescent="0.55000000000000004">
      <c r="B126" s="8"/>
      <c r="C126" s="8"/>
      <c r="D126" s="8"/>
      <c r="E126" s="8"/>
      <c r="G126" s="6"/>
      <c r="H126" s="7"/>
      <c r="I126" s="7"/>
      <c r="J126" s="7"/>
      <c r="K126" s="7"/>
      <c r="L126" s="7"/>
    </row>
    <row r="127" spans="1:12" x14ac:dyDescent="0.55000000000000004">
      <c r="B127" s="8"/>
      <c r="C127" s="8"/>
      <c r="D127" s="8"/>
      <c r="E127" s="8"/>
      <c r="G127" s="6"/>
      <c r="H127" s="7"/>
      <c r="I127" s="7"/>
      <c r="J127" s="7"/>
      <c r="K127" s="7"/>
      <c r="L127" s="7"/>
    </row>
    <row r="128" spans="1:12" x14ac:dyDescent="0.55000000000000004">
      <c r="B128" s="8"/>
      <c r="C128" s="8"/>
      <c r="D128" s="8"/>
      <c r="E128" s="8"/>
      <c r="G128" s="6"/>
      <c r="H128" s="7"/>
      <c r="I128" s="7"/>
      <c r="J128" s="7"/>
      <c r="K128" s="7"/>
      <c r="L128" s="7"/>
    </row>
    <row r="129" spans="2:12" x14ac:dyDescent="0.55000000000000004">
      <c r="B129" s="8"/>
      <c r="C129" s="8"/>
      <c r="D129" s="8"/>
      <c r="E129" s="8"/>
      <c r="G129" s="6"/>
      <c r="H129" s="7"/>
      <c r="I129" s="7"/>
      <c r="J129" s="7"/>
      <c r="K129" s="7"/>
      <c r="L129" s="7"/>
    </row>
    <row r="130" spans="2:12" x14ac:dyDescent="0.55000000000000004">
      <c r="B130" s="8"/>
      <c r="C130" s="8"/>
      <c r="D130" s="8"/>
      <c r="E130" s="8"/>
      <c r="G130" s="6"/>
      <c r="H130" s="7"/>
      <c r="I130" s="7"/>
      <c r="J130" s="7"/>
      <c r="K130" s="7"/>
      <c r="L130" s="7"/>
    </row>
    <row r="131" spans="2:12" x14ac:dyDescent="0.55000000000000004">
      <c r="B131" s="8"/>
      <c r="C131" s="8"/>
      <c r="D131" s="8"/>
      <c r="E131" s="8"/>
    </row>
    <row r="132" spans="2:12" x14ac:dyDescent="0.55000000000000004">
      <c r="B132" s="8"/>
      <c r="C132" s="8"/>
      <c r="D132" s="8"/>
      <c r="E132" s="8"/>
    </row>
    <row r="133" spans="2:12" x14ac:dyDescent="0.55000000000000004">
      <c r="B133" s="8"/>
      <c r="C133" s="8"/>
      <c r="D133" s="8"/>
      <c r="E133" s="8"/>
    </row>
    <row r="134" spans="2:12" x14ac:dyDescent="0.55000000000000004">
      <c r="B134" s="8"/>
      <c r="C134" s="8"/>
      <c r="D134" s="8"/>
      <c r="E134" s="8"/>
    </row>
    <row r="135" spans="2:12" x14ac:dyDescent="0.55000000000000004">
      <c r="B135" s="8"/>
      <c r="C135" s="8"/>
      <c r="D135" s="8"/>
      <c r="E135" s="8"/>
      <c r="G135" s="6"/>
      <c r="H135" s="7"/>
      <c r="I135" s="7"/>
      <c r="J135" s="7"/>
      <c r="K135" s="7"/>
      <c r="L135" s="7"/>
    </row>
    <row r="136" spans="2:12" x14ac:dyDescent="0.55000000000000004">
      <c r="B136" s="8"/>
      <c r="C136" s="8"/>
      <c r="D136" s="8"/>
      <c r="E136" s="8"/>
      <c r="G136" s="6"/>
      <c r="H136" s="7"/>
      <c r="I136" s="7"/>
      <c r="J136" s="7"/>
      <c r="K136" s="7"/>
      <c r="L136" s="7"/>
    </row>
    <row r="137" spans="2:12" x14ac:dyDescent="0.55000000000000004">
      <c r="B137" s="8"/>
      <c r="C137" s="8"/>
      <c r="D137" s="8"/>
      <c r="E137" s="8"/>
    </row>
    <row r="138" spans="2:12" x14ac:dyDescent="0.55000000000000004">
      <c r="B138" s="8"/>
      <c r="C138" s="8"/>
      <c r="D138" s="8"/>
      <c r="E138" s="8"/>
    </row>
    <row r="139" spans="2:12" x14ac:dyDescent="0.55000000000000004">
      <c r="B139" s="8"/>
      <c r="C139" s="8"/>
      <c r="D139" s="8"/>
      <c r="E139" s="8"/>
    </row>
    <row r="140" spans="2:12" x14ac:dyDescent="0.55000000000000004">
      <c r="B140" s="8"/>
      <c r="C140" s="8"/>
      <c r="D140" s="8"/>
      <c r="E140" s="8"/>
    </row>
    <row r="141" spans="2:12" x14ac:dyDescent="0.55000000000000004">
      <c r="B141" s="8"/>
      <c r="C141" s="8"/>
      <c r="D141" s="8"/>
      <c r="E141" s="8"/>
    </row>
    <row r="142" spans="2:12" x14ac:dyDescent="0.55000000000000004">
      <c r="B142" s="8"/>
      <c r="C142" s="8"/>
      <c r="D142" s="8"/>
      <c r="E142" s="8"/>
    </row>
    <row r="143" spans="2:12" x14ac:dyDescent="0.55000000000000004">
      <c r="B143" s="8"/>
      <c r="C143" s="8"/>
      <c r="D143" s="8"/>
      <c r="E143" s="8"/>
    </row>
    <row r="144" spans="2:12" x14ac:dyDescent="0.55000000000000004">
      <c r="B144" s="8"/>
      <c r="C144" s="8"/>
      <c r="D144" s="8"/>
      <c r="E144" s="8"/>
    </row>
    <row r="145" spans="2:5" x14ac:dyDescent="0.55000000000000004">
      <c r="B145" s="8"/>
      <c r="C145" s="8"/>
      <c r="D145" s="8"/>
      <c r="E145" s="8"/>
    </row>
    <row r="146" spans="2:5" x14ac:dyDescent="0.55000000000000004">
      <c r="B146" s="8"/>
      <c r="C146" s="8"/>
      <c r="D146" s="8"/>
      <c r="E146" s="8"/>
    </row>
    <row r="147" spans="2:5" x14ac:dyDescent="0.55000000000000004">
      <c r="B147" s="8"/>
      <c r="C147" s="8"/>
      <c r="D147" s="8"/>
      <c r="E147" s="8"/>
    </row>
    <row r="148" spans="2:5" x14ac:dyDescent="0.55000000000000004">
      <c r="B148" s="8"/>
      <c r="C148" s="8"/>
      <c r="D148" s="8"/>
      <c r="E148" s="8"/>
    </row>
    <row r="149" spans="2:5" x14ac:dyDescent="0.55000000000000004">
      <c r="B149" s="8"/>
      <c r="C149" s="8"/>
      <c r="D149" s="8"/>
      <c r="E149" s="8"/>
    </row>
    <row r="150" spans="2:5" x14ac:dyDescent="0.55000000000000004">
      <c r="B150" s="8"/>
      <c r="C150" s="8"/>
      <c r="D150" s="8"/>
      <c r="E150" s="8"/>
    </row>
    <row r="151" spans="2:5" x14ac:dyDescent="0.55000000000000004">
      <c r="B151" s="8"/>
      <c r="C151" s="8"/>
      <c r="D151" s="8"/>
      <c r="E151" s="8"/>
    </row>
    <row r="152" spans="2:5" x14ac:dyDescent="0.55000000000000004">
      <c r="B152" s="8"/>
      <c r="C152" s="8"/>
      <c r="D152" s="8"/>
      <c r="E152" s="8"/>
    </row>
    <row r="153" spans="2:5" x14ac:dyDescent="0.55000000000000004">
      <c r="B153" s="8"/>
      <c r="C153" s="8"/>
      <c r="D153" s="8"/>
      <c r="E153" s="8"/>
    </row>
    <row r="154" spans="2:5" x14ac:dyDescent="0.55000000000000004">
      <c r="B154" s="8"/>
      <c r="C154" s="8"/>
      <c r="D154" s="8"/>
      <c r="E154" s="8"/>
    </row>
    <row r="155" spans="2:5" x14ac:dyDescent="0.55000000000000004">
      <c r="B155" s="8"/>
      <c r="C155" s="8"/>
      <c r="D155" s="8"/>
      <c r="E155" s="8"/>
    </row>
    <row r="156" spans="2:5" x14ac:dyDescent="0.55000000000000004">
      <c r="B156" s="8"/>
      <c r="C156" s="8"/>
      <c r="D156" s="8"/>
      <c r="E156" s="8"/>
    </row>
    <row r="157" spans="2:5" x14ac:dyDescent="0.55000000000000004">
      <c r="B157" s="8"/>
      <c r="C157" s="8"/>
      <c r="D157" s="8"/>
      <c r="E157" s="8"/>
    </row>
    <row r="158" spans="2:5" x14ac:dyDescent="0.55000000000000004">
      <c r="B158" s="8"/>
      <c r="C158" s="8"/>
      <c r="D158" s="8"/>
      <c r="E158" s="8"/>
    </row>
    <row r="159" spans="2:5" x14ac:dyDescent="0.55000000000000004">
      <c r="B159" s="8"/>
      <c r="C159" s="8"/>
      <c r="D159" s="8"/>
      <c r="E159" s="8"/>
    </row>
    <row r="160" spans="2:5" x14ac:dyDescent="0.55000000000000004">
      <c r="B160" s="8"/>
      <c r="C160" s="8"/>
      <c r="D160" s="8"/>
      <c r="E160" s="8"/>
    </row>
    <row r="161" spans="2:5" x14ac:dyDescent="0.55000000000000004">
      <c r="B161" s="8"/>
      <c r="C161" s="8"/>
      <c r="D161" s="8"/>
      <c r="E161" s="8"/>
    </row>
    <row r="162" spans="2:5" x14ac:dyDescent="0.55000000000000004">
      <c r="B162" s="8"/>
      <c r="C162" s="8"/>
      <c r="D162" s="8"/>
      <c r="E162" s="8"/>
    </row>
    <row r="163" spans="2:5" x14ac:dyDescent="0.55000000000000004">
      <c r="B163" s="8"/>
      <c r="C163" s="8"/>
      <c r="D163" s="8"/>
      <c r="E163" s="8"/>
    </row>
    <row r="164" spans="2:5" x14ac:dyDescent="0.55000000000000004">
      <c r="B164" s="8"/>
      <c r="C164" s="8"/>
      <c r="D164" s="8"/>
      <c r="E164" s="8"/>
    </row>
    <row r="165" spans="2:5" x14ac:dyDescent="0.55000000000000004">
      <c r="B165" s="8"/>
      <c r="C165" s="8"/>
      <c r="D165" s="8"/>
      <c r="E165" s="8"/>
    </row>
    <row r="166" spans="2:5" x14ac:dyDescent="0.55000000000000004">
      <c r="B166" s="8"/>
      <c r="C166" s="8"/>
      <c r="D166" s="8"/>
      <c r="E166" s="8"/>
    </row>
    <row r="167" spans="2:5" x14ac:dyDescent="0.55000000000000004">
      <c r="B167" s="8"/>
      <c r="C167" s="8"/>
      <c r="D167" s="8"/>
      <c r="E167" s="8"/>
    </row>
    <row r="168" spans="2:5" x14ac:dyDescent="0.55000000000000004">
      <c r="B168" s="8"/>
      <c r="C168" s="8"/>
      <c r="D168" s="8"/>
      <c r="E168" s="8"/>
    </row>
    <row r="169" spans="2:5" x14ac:dyDescent="0.55000000000000004">
      <c r="B169" s="8"/>
      <c r="C169" s="8"/>
      <c r="D169" s="8"/>
      <c r="E169" s="8"/>
    </row>
    <row r="170" spans="2:5" x14ac:dyDescent="0.55000000000000004">
      <c r="B170" s="8"/>
      <c r="C170" s="8"/>
      <c r="D170" s="8"/>
      <c r="E170" s="8"/>
    </row>
    <row r="171" spans="2:5" x14ac:dyDescent="0.55000000000000004">
      <c r="B171" s="8"/>
      <c r="C171" s="8"/>
      <c r="D171" s="8"/>
      <c r="E171" s="8"/>
    </row>
    <row r="172" spans="2:5" x14ac:dyDescent="0.55000000000000004">
      <c r="B172" s="8"/>
      <c r="C172" s="8"/>
      <c r="D172" s="8"/>
      <c r="E172" s="8"/>
    </row>
    <row r="173" spans="2:5" x14ac:dyDescent="0.55000000000000004">
      <c r="B173" s="8"/>
      <c r="C173" s="8"/>
      <c r="D173" s="8"/>
      <c r="E173" s="8"/>
    </row>
    <row r="174" spans="2:5" x14ac:dyDescent="0.55000000000000004">
      <c r="B174" s="8"/>
      <c r="C174" s="8"/>
      <c r="D174" s="8"/>
      <c r="E174" s="8"/>
    </row>
    <row r="175" spans="2:5" x14ac:dyDescent="0.55000000000000004">
      <c r="B175" s="8"/>
      <c r="C175" s="8"/>
      <c r="D175" s="8"/>
      <c r="E175" s="8"/>
    </row>
    <row r="176" spans="2:5" x14ac:dyDescent="0.55000000000000004">
      <c r="B176" s="8"/>
      <c r="C176" s="8"/>
      <c r="D176" s="8"/>
      <c r="E176" s="8"/>
    </row>
    <row r="177" spans="2:5" x14ac:dyDescent="0.55000000000000004">
      <c r="B177" s="8"/>
      <c r="C177" s="8"/>
      <c r="D177" s="8"/>
      <c r="E177" s="8"/>
    </row>
    <row r="178" spans="2:5" x14ac:dyDescent="0.55000000000000004">
      <c r="B178" s="8"/>
      <c r="C178" s="8"/>
      <c r="D178" s="8"/>
      <c r="E178" s="8"/>
    </row>
    <row r="179" spans="2:5" x14ac:dyDescent="0.55000000000000004">
      <c r="B179" s="8"/>
      <c r="C179" s="8"/>
      <c r="D179" s="8"/>
      <c r="E179" s="8"/>
    </row>
    <row r="180" spans="2:5" x14ac:dyDescent="0.55000000000000004">
      <c r="B180" s="8"/>
      <c r="C180" s="8"/>
      <c r="D180" s="8"/>
      <c r="E180" s="8"/>
    </row>
    <row r="181" spans="2:5" x14ac:dyDescent="0.55000000000000004">
      <c r="B181" s="8"/>
      <c r="C181" s="8"/>
      <c r="D181" s="8"/>
      <c r="E181" s="8"/>
    </row>
    <row r="182" spans="2:5" x14ac:dyDescent="0.55000000000000004">
      <c r="B182" s="8"/>
      <c r="C182" s="8"/>
      <c r="D182" s="8"/>
      <c r="E182" s="8"/>
    </row>
    <row r="183" spans="2:5" x14ac:dyDescent="0.55000000000000004">
      <c r="B183" s="8"/>
      <c r="C183" s="8"/>
      <c r="D183" s="8"/>
      <c r="E183" s="8"/>
    </row>
    <row r="184" spans="2:5" x14ac:dyDescent="0.55000000000000004">
      <c r="B184" s="8"/>
      <c r="C184" s="8"/>
      <c r="D184" s="8"/>
      <c r="E184" s="8"/>
    </row>
    <row r="185" spans="2:5" x14ac:dyDescent="0.55000000000000004">
      <c r="B185" s="8"/>
      <c r="C185" s="8"/>
      <c r="D185" s="8"/>
      <c r="E185" s="8"/>
    </row>
    <row r="186" spans="2:5" x14ac:dyDescent="0.55000000000000004">
      <c r="B186" s="8"/>
      <c r="C186" s="8"/>
      <c r="D186" s="8"/>
      <c r="E186" s="8"/>
    </row>
    <row r="187" spans="2:5" x14ac:dyDescent="0.55000000000000004">
      <c r="B187" s="8"/>
      <c r="C187" s="8"/>
      <c r="D187" s="8"/>
      <c r="E187" s="8"/>
    </row>
    <row r="188" spans="2:5" x14ac:dyDescent="0.55000000000000004">
      <c r="B188" s="8"/>
      <c r="C188" s="8"/>
      <c r="D188" s="8"/>
      <c r="E188" s="8"/>
    </row>
    <row r="189" spans="2:5" x14ac:dyDescent="0.55000000000000004">
      <c r="B189" s="8"/>
      <c r="C189" s="8"/>
      <c r="D189" s="8"/>
      <c r="E189" s="8"/>
    </row>
    <row r="190" spans="2:5" x14ac:dyDescent="0.55000000000000004">
      <c r="B190" s="8"/>
      <c r="C190" s="8"/>
      <c r="D190" s="8"/>
      <c r="E190" s="8"/>
    </row>
    <row r="191" spans="2:5" x14ac:dyDescent="0.55000000000000004">
      <c r="B191" s="8"/>
      <c r="C191" s="8"/>
      <c r="D191" s="8"/>
      <c r="E191" s="8"/>
    </row>
    <row r="192" spans="2:5" x14ac:dyDescent="0.55000000000000004">
      <c r="B192" s="8"/>
      <c r="C192" s="8"/>
      <c r="D192" s="8"/>
      <c r="E192" s="8"/>
    </row>
    <row r="193" spans="2:5" x14ac:dyDescent="0.55000000000000004">
      <c r="B193" s="8"/>
      <c r="C193" s="8"/>
      <c r="D193" s="8"/>
      <c r="E193" s="8"/>
    </row>
    <row r="194" spans="2:5" x14ac:dyDescent="0.55000000000000004">
      <c r="B194" s="8"/>
      <c r="C194" s="8"/>
      <c r="D194" s="8"/>
      <c r="E194" s="8"/>
    </row>
    <row r="195" spans="2:5" x14ac:dyDescent="0.55000000000000004">
      <c r="B195" s="8"/>
      <c r="C195" s="8"/>
      <c r="D195" s="8"/>
      <c r="E195" s="8"/>
    </row>
    <row r="196" spans="2:5" x14ac:dyDescent="0.55000000000000004">
      <c r="B196" s="8"/>
      <c r="C196" s="8"/>
      <c r="D196" s="8"/>
      <c r="E196" s="8"/>
    </row>
    <row r="197" spans="2:5" x14ac:dyDescent="0.55000000000000004">
      <c r="B197" s="8"/>
      <c r="C197" s="8"/>
      <c r="D197" s="8"/>
      <c r="E197" s="8"/>
    </row>
    <row r="198" spans="2:5" x14ac:dyDescent="0.55000000000000004">
      <c r="B198" s="8"/>
      <c r="C198" s="8"/>
      <c r="D198" s="8"/>
      <c r="E198" s="8"/>
    </row>
    <row r="199" spans="2:5" x14ac:dyDescent="0.55000000000000004">
      <c r="B199" s="8"/>
      <c r="C199" s="8"/>
      <c r="D199" s="8"/>
      <c r="E199" s="8"/>
    </row>
    <row r="200" spans="2:5" x14ac:dyDescent="0.55000000000000004">
      <c r="B200" s="8"/>
      <c r="C200" s="8"/>
      <c r="D200" s="8"/>
      <c r="E200" s="8"/>
    </row>
    <row r="201" spans="2:5" x14ac:dyDescent="0.55000000000000004">
      <c r="B201" s="8"/>
      <c r="C201" s="8"/>
      <c r="D201" s="8"/>
      <c r="E201" s="8"/>
    </row>
    <row r="202" spans="2:5" x14ac:dyDescent="0.55000000000000004">
      <c r="B202" s="8"/>
      <c r="C202" s="8"/>
      <c r="D202" s="8"/>
      <c r="E202" s="8"/>
    </row>
    <row r="203" spans="2:5" x14ac:dyDescent="0.55000000000000004">
      <c r="B203" s="8"/>
      <c r="C203" s="8"/>
      <c r="D203" s="8"/>
      <c r="E203" s="8"/>
    </row>
    <row r="204" spans="2:5" x14ac:dyDescent="0.55000000000000004">
      <c r="B204" s="8"/>
      <c r="C204" s="8"/>
      <c r="D204" s="8"/>
      <c r="E204" s="8"/>
    </row>
    <row r="205" spans="2:5" x14ac:dyDescent="0.55000000000000004">
      <c r="B205" s="8"/>
      <c r="C205" s="8"/>
      <c r="D205" s="8"/>
      <c r="E205" s="8"/>
    </row>
    <row r="206" spans="2:5" x14ac:dyDescent="0.55000000000000004">
      <c r="B206" s="8"/>
      <c r="C206" s="8"/>
      <c r="D206" s="8"/>
      <c r="E206" s="8"/>
    </row>
    <row r="207" spans="2:5" x14ac:dyDescent="0.55000000000000004">
      <c r="B207" s="8"/>
      <c r="C207" s="8"/>
      <c r="D207" s="8"/>
      <c r="E207" s="8"/>
    </row>
    <row r="208" spans="2:5" x14ac:dyDescent="0.55000000000000004">
      <c r="B208" s="8"/>
      <c r="C208" s="8"/>
      <c r="D208" s="8"/>
      <c r="E208" s="8"/>
    </row>
    <row r="209" spans="2:5" x14ac:dyDescent="0.55000000000000004">
      <c r="B209" s="8"/>
      <c r="C209" s="8"/>
      <c r="D209" s="8"/>
      <c r="E209" s="8"/>
    </row>
    <row r="210" spans="2:5" x14ac:dyDescent="0.55000000000000004">
      <c r="B210" s="8"/>
      <c r="C210" s="8"/>
      <c r="D210" s="8"/>
      <c r="E210" s="8"/>
    </row>
    <row r="211" spans="2:5" x14ac:dyDescent="0.55000000000000004">
      <c r="B211" s="8"/>
      <c r="C211" s="8"/>
      <c r="D211" s="8"/>
      <c r="E211" s="8"/>
    </row>
    <row r="212" spans="2:5" x14ac:dyDescent="0.55000000000000004">
      <c r="B212" s="8"/>
      <c r="C212" s="8"/>
      <c r="D212" s="8"/>
      <c r="E212" s="8"/>
    </row>
    <row r="213" spans="2:5" x14ac:dyDescent="0.55000000000000004">
      <c r="B213" s="8"/>
      <c r="C213" s="8"/>
      <c r="D213" s="8"/>
      <c r="E213" s="8"/>
    </row>
    <row r="214" spans="2:5" x14ac:dyDescent="0.55000000000000004">
      <c r="B214" s="8"/>
      <c r="C214" s="8"/>
      <c r="D214" s="8"/>
      <c r="E214" s="8"/>
    </row>
    <row r="215" spans="2:5" x14ac:dyDescent="0.55000000000000004">
      <c r="B215" s="8"/>
      <c r="C215" s="8"/>
      <c r="D215" s="8"/>
      <c r="E215" s="8"/>
    </row>
    <row r="216" spans="2:5" x14ac:dyDescent="0.55000000000000004">
      <c r="B216" s="8"/>
      <c r="C216" s="8"/>
      <c r="D216" s="8"/>
      <c r="E216" s="8"/>
    </row>
    <row r="217" spans="2:5" x14ac:dyDescent="0.55000000000000004">
      <c r="B217" s="8"/>
      <c r="C217" s="8"/>
      <c r="D217" s="8"/>
      <c r="E217" s="8"/>
    </row>
    <row r="218" spans="2:5" x14ac:dyDescent="0.55000000000000004">
      <c r="B218" s="8"/>
      <c r="C218" s="8"/>
      <c r="D218" s="8"/>
      <c r="E218" s="8"/>
    </row>
    <row r="219" spans="2:5" x14ac:dyDescent="0.55000000000000004">
      <c r="B219" s="8"/>
      <c r="C219" s="8"/>
      <c r="D219" s="8"/>
      <c r="E219" s="8"/>
    </row>
    <row r="220" spans="2:5" x14ac:dyDescent="0.55000000000000004">
      <c r="B220" s="8"/>
      <c r="C220" s="8"/>
      <c r="D220" s="8"/>
      <c r="E220" s="8"/>
    </row>
    <row r="221" spans="2:5" x14ac:dyDescent="0.55000000000000004">
      <c r="B221" s="8"/>
      <c r="C221" s="8"/>
      <c r="D221" s="8"/>
      <c r="E221" s="8"/>
    </row>
    <row r="222" spans="2:5" x14ac:dyDescent="0.55000000000000004">
      <c r="B222" s="8"/>
      <c r="C222" s="8"/>
      <c r="D222" s="8"/>
      <c r="E222" s="8"/>
    </row>
    <row r="223" spans="2:5" x14ac:dyDescent="0.55000000000000004">
      <c r="B223" s="8"/>
      <c r="C223" s="8"/>
      <c r="D223" s="8"/>
      <c r="E223" s="8"/>
    </row>
    <row r="224" spans="2:5" x14ac:dyDescent="0.55000000000000004">
      <c r="B224" s="8"/>
      <c r="C224" s="8"/>
      <c r="D224" s="8"/>
      <c r="E224" s="8"/>
    </row>
    <row r="225" spans="2:5" x14ac:dyDescent="0.55000000000000004">
      <c r="B225" s="8"/>
      <c r="C225" s="8"/>
      <c r="D225" s="8"/>
      <c r="E225" s="8"/>
    </row>
    <row r="226" spans="2:5" x14ac:dyDescent="0.55000000000000004">
      <c r="B226" s="8"/>
      <c r="C226" s="8"/>
      <c r="D226" s="8"/>
      <c r="E226" s="8"/>
    </row>
    <row r="244" spans="7:12" x14ac:dyDescent="0.55000000000000004">
      <c r="G244" s="23"/>
      <c r="H244" s="23"/>
      <c r="I244" s="23"/>
      <c r="J244" s="23"/>
      <c r="K244" s="23"/>
      <c r="L244" s="23"/>
    </row>
    <row r="245" spans="7:12" x14ac:dyDescent="0.55000000000000004">
      <c r="G245" s="23"/>
      <c r="H245" s="23"/>
      <c r="I245" s="23"/>
      <c r="J245" s="23"/>
      <c r="K245" s="23"/>
      <c r="L245" s="23"/>
    </row>
    <row r="246" spans="7:12" x14ac:dyDescent="0.55000000000000004">
      <c r="G246" s="23"/>
      <c r="H246" s="23"/>
      <c r="I246" s="23"/>
      <c r="J246" s="23"/>
      <c r="K246" s="23"/>
      <c r="L246" s="23"/>
    </row>
    <row r="247" spans="7:12" x14ac:dyDescent="0.55000000000000004">
      <c r="G247" s="23"/>
      <c r="H247" s="23"/>
      <c r="I247" s="23"/>
      <c r="J247" s="23"/>
      <c r="K247" s="23"/>
      <c r="L247" s="23"/>
    </row>
    <row r="248" spans="7:12" x14ac:dyDescent="0.55000000000000004">
      <c r="G248" s="23"/>
      <c r="H248" s="23"/>
      <c r="I248" s="23"/>
      <c r="J248" s="23"/>
      <c r="K248" s="23"/>
      <c r="L248" s="23"/>
    </row>
    <row r="249" spans="7:12" x14ac:dyDescent="0.55000000000000004">
      <c r="G249" s="23"/>
      <c r="H249" s="23"/>
      <c r="I249" s="23"/>
      <c r="J249" s="23"/>
      <c r="K249" s="23"/>
      <c r="L249" s="23"/>
    </row>
    <row r="250" spans="7:12" x14ac:dyDescent="0.55000000000000004">
      <c r="G250" s="23"/>
      <c r="H250" s="23"/>
      <c r="I250" s="23"/>
      <c r="J250" s="23"/>
      <c r="K250" s="23"/>
      <c r="L250" s="23"/>
    </row>
    <row r="251" spans="7:12" x14ac:dyDescent="0.55000000000000004">
      <c r="G251" s="23"/>
      <c r="H251" s="23"/>
      <c r="I251" s="23"/>
      <c r="J251" s="23"/>
      <c r="K251" s="23"/>
      <c r="L251" s="23"/>
    </row>
    <row r="252" spans="7:12" x14ac:dyDescent="0.55000000000000004">
      <c r="G252" s="23"/>
      <c r="H252" s="23"/>
      <c r="I252" s="23"/>
      <c r="J252" s="23"/>
      <c r="K252" s="23"/>
      <c r="L252" s="23"/>
    </row>
  </sheetData>
  <mergeCells count="13">
    <mergeCell ref="B17:E18"/>
    <mergeCell ref="B2:E2"/>
    <mergeCell ref="B4:C4"/>
    <mergeCell ref="D4:E4"/>
    <mergeCell ref="B3:C3"/>
    <mergeCell ref="D3:E3"/>
    <mergeCell ref="G2:N2"/>
    <mergeCell ref="G10:H11"/>
    <mergeCell ref="J10:K11"/>
    <mergeCell ref="M10:M11"/>
    <mergeCell ref="I10:I11"/>
    <mergeCell ref="L10:L11"/>
    <mergeCell ref="N10:N11"/>
  </mergeCells>
  <dataValidations count="2">
    <dataValidation type="list" allowBlank="1" showInputMessage="1" showErrorMessage="1" sqref="B17:E18" xr:uid="{00000000-0002-0000-0100-000001000000}">
      <formula1>"Reading, Writing, Math_without_Calc, Math_with_Calc, Overall"</formula1>
    </dataValidation>
    <dataValidation type="list" allowBlank="1" showInputMessage="1" showErrorMessage="1" sqref="B4:C4 D4:E4" xr:uid="{1C3BD3BD-3864-44F0-9083-7CBA40911DD3}">
      <formula1>Practice_Test_Numbers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J64"/>
  <sheetViews>
    <sheetView workbookViewId="0">
      <selection activeCell="F4" sqref="F4"/>
    </sheetView>
  </sheetViews>
  <sheetFormatPr defaultRowHeight="14.4" x14ac:dyDescent="0.55000000000000004"/>
  <cols>
    <col min="1" max="1" width="24.47265625" customWidth="1"/>
    <col min="2" max="2" width="28.7890625" style="4" customWidth="1"/>
    <col min="3" max="3" width="22.62890625" style="4" customWidth="1"/>
    <col min="4" max="4" width="40.1015625" style="4" customWidth="1"/>
    <col min="5" max="5" width="21.7890625" style="4" customWidth="1"/>
    <col min="6" max="7" width="10.26171875" customWidth="1"/>
    <col min="8" max="8" width="26.62890625" customWidth="1"/>
    <col min="9" max="9" width="18.3671875" customWidth="1"/>
    <col min="10" max="10" width="15.47265625" customWidth="1"/>
  </cols>
  <sheetData>
    <row r="1" spans="1:10" x14ac:dyDescent="0.55000000000000004">
      <c r="A1" t="s">
        <v>3</v>
      </c>
      <c r="B1" s="1" t="s">
        <v>4</v>
      </c>
      <c r="C1" s="4" t="s">
        <v>5</v>
      </c>
      <c r="D1" s="4" t="s">
        <v>11</v>
      </c>
      <c r="E1" s="4" t="s">
        <v>8</v>
      </c>
      <c r="F1" t="s">
        <v>1</v>
      </c>
      <c r="G1" t="s">
        <v>2</v>
      </c>
      <c r="H1" s="4" t="s">
        <v>0</v>
      </c>
      <c r="I1" t="s">
        <v>7</v>
      </c>
      <c r="J1" t="s">
        <v>6</v>
      </c>
    </row>
    <row r="2" spans="1:10" x14ac:dyDescent="0.55000000000000004">
      <c r="A2">
        <v>6</v>
      </c>
      <c r="B2" s="4">
        <v>35</v>
      </c>
      <c r="C2" s="4">
        <v>26</v>
      </c>
      <c r="D2" s="4">
        <v>790</v>
      </c>
      <c r="E2" s="4">
        <v>1400</v>
      </c>
      <c r="F2">
        <f>INDEX(Raw_Score,MATCH(B2,Reading,0))</f>
        <v>45</v>
      </c>
      <c r="G2">
        <f>INDEX(Raw_Score,MATCH(C2,Writing,0))</f>
        <v>24</v>
      </c>
      <c r="H2">
        <f>INDEX(Raw_Score,MATCH(D2,Math_with_AND_without_Calculator,0))</f>
        <v>57</v>
      </c>
      <c r="I2">
        <f ca="1">IF(H2&lt;=20,RANDBETWEEN(0,H2),20)</f>
        <v>20</v>
      </c>
      <c r="J2">
        <f ca="1">H2-I2</f>
        <v>37</v>
      </c>
    </row>
    <row r="4" spans="1:10" x14ac:dyDescent="0.55000000000000004">
      <c r="A4" t="s">
        <v>25</v>
      </c>
      <c r="B4" t="s">
        <v>26</v>
      </c>
      <c r="C4" t="s">
        <v>1</v>
      </c>
      <c r="D4" t="s">
        <v>2</v>
      </c>
      <c r="E4" t="s">
        <v>27</v>
      </c>
    </row>
    <row r="5" spans="1:10" x14ac:dyDescent="0.55000000000000004">
      <c r="A5">
        <v>0</v>
      </c>
      <c r="B5">
        <v>200</v>
      </c>
      <c r="C5">
        <v>10</v>
      </c>
      <c r="D5">
        <v>10</v>
      </c>
      <c r="E5" t="s">
        <v>35</v>
      </c>
    </row>
    <row r="6" spans="1:10" x14ac:dyDescent="0.55000000000000004">
      <c r="A6">
        <v>1</v>
      </c>
      <c r="B6">
        <v>200</v>
      </c>
      <c r="C6">
        <v>10</v>
      </c>
      <c r="D6">
        <v>10</v>
      </c>
      <c r="E6" t="s">
        <v>35</v>
      </c>
    </row>
    <row r="7" spans="1:10" x14ac:dyDescent="0.55000000000000004">
      <c r="A7">
        <v>2</v>
      </c>
      <c r="B7">
        <v>210</v>
      </c>
      <c r="C7">
        <v>10</v>
      </c>
      <c r="D7">
        <v>10</v>
      </c>
      <c r="E7" t="s">
        <v>35</v>
      </c>
    </row>
    <row r="8" spans="1:10" x14ac:dyDescent="0.55000000000000004">
      <c r="A8">
        <v>3</v>
      </c>
      <c r="B8">
        <v>230</v>
      </c>
      <c r="C8">
        <v>10</v>
      </c>
      <c r="D8">
        <v>11</v>
      </c>
      <c r="E8" t="s">
        <v>35</v>
      </c>
    </row>
    <row r="9" spans="1:10" x14ac:dyDescent="0.55000000000000004">
      <c r="A9">
        <v>4</v>
      </c>
      <c r="B9">
        <v>250</v>
      </c>
      <c r="C9">
        <v>11</v>
      </c>
      <c r="D9">
        <v>11</v>
      </c>
      <c r="E9" t="s">
        <v>35</v>
      </c>
    </row>
    <row r="10" spans="1:10" x14ac:dyDescent="0.55000000000000004">
      <c r="A10">
        <v>5</v>
      </c>
      <c r="B10">
        <v>260</v>
      </c>
      <c r="C10">
        <v>12</v>
      </c>
      <c r="D10">
        <v>12</v>
      </c>
      <c r="E10" t="s">
        <v>35</v>
      </c>
    </row>
    <row r="11" spans="1:10" x14ac:dyDescent="0.55000000000000004">
      <c r="A11">
        <v>6</v>
      </c>
      <c r="B11">
        <v>280</v>
      </c>
      <c r="C11">
        <v>13</v>
      </c>
      <c r="D11">
        <v>13</v>
      </c>
      <c r="E11" t="s">
        <v>35</v>
      </c>
    </row>
    <row r="12" spans="1:10" x14ac:dyDescent="0.55000000000000004">
      <c r="A12">
        <v>7</v>
      </c>
      <c r="B12">
        <v>290</v>
      </c>
      <c r="C12">
        <v>14</v>
      </c>
      <c r="D12">
        <v>14</v>
      </c>
      <c r="E12" t="s">
        <v>35</v>
      </c>
    </row>
    <row r="13" spans="1:10" x14ac:dyDescent="0.55000000000000004">
      <c r="A13">
        <v>8</v>
      </c>
      <c r="B13">
        <v>310</v>
      </c>
      <c r="C13">
        <v>15</v>
      </c>
      <c r="D13">
        <v>15</v>
      </c>
      <c r="E13" t="s">
        <v>35</v>
      </c>
    </row>
    <row r="14" spans="1:10" x14ac:dyDescent="0.55000000000000004">
      <c r="A14">
        <v>9</v>
      </c>
      <c r="B14">
        <v>320</v>
      </c>
      <c r="C14">
        <v>15</v>
      </c>
      <c r="D14">
        <v>16</v>
      </c>
      <c r="E14" t="s">
        <v>35</v>
      </c>
    </row>
    <row r="15" spans="1:10" x14ac:dyDescent="0.55000000000000004">
      <c r="A15">
        <v>10</v>
      </c>
      <c r="B15">
        <v>330</v>
      </c>
      <c r="C15">
        <v>16</v>
      </c>
      <c r="D15">
        <v>16</v>
      </c>
      <c r="E15" t="s">
        <v>35</v>
      </c>
    </row>
    <row r="16" spans="1:10" x14ac:dyDescent="0.55000000000000004">
      <c r="A16">
        <v>11</v>
      </c>
      <c r="B16">
        <v>340</v>
      </c>
      <c r="C16">
        <v>17</v>
      </c>
      <c r="D16">
        <v>17</v>
      </c>
      <c r="E16" t="s">
        <v>35</v>
      </c>
    </row>
    <row r="17" spans="1:5" x14ac:dyDescent="0.55000000000000004">
      <c r="A17">
        <v>12</v>
      </c>
      <c r="B17">
        <v>350</v>
      </c>
      <c r="C17">
        <v>17</v>
      </c>
      <c r="D17">
        <v>18</v>
      </c>
      <c r="E17" t="s">
        <v>35</v>
      </c>
    </row>
    <row r="18" spans="1:5" x14ac:dyDescent="0.55000000000000004">
      <c r="A18">
        <v>13</v>
      </c>
      <c r="B18">
        <v>360</v>
      </c>
      <c r="C18">
        <v>18</v>
      </c>
      <c r="D18">
        <v>18</v>
      </c>
      <c r="E18" t="s">
        <v>35</v>
      </c>
    </row>
    <row r="19" spans="1:5" x14ac:dyDescent="0.55000000000000004">
      <c r="A19">
        <v>14</v>
      </c>
      <c r="B19">
        <v>380</v>
      </c>
      <c r="C19">
        <v>18</v>
      </c>
      <c r="D19">
        <v>19</v>
      </c>
      <c r="E19" t="s">
        <v>35</v>
      </c>
    </row>
    <row r="20" spans="1:5" x14ac:dyDescent="0.55000000000000004">
      <c r="A20">
        <v>15</v>
      </c>
      <c r="B20">
        <v>390</v>
      </c>
      <c r="C20">
        <v>19</v>
      </c>
      <c r="D20">
        <v>20</v>
      </c>
      <c r="E20" t="s">
        <v>35</v>
      </c>
    </row>
    <row r="21" spans="1:5" x14ac:dyDescent="0.55000000000000004">
      <c r="A21">
        <v>16</v>
      </c>
      <c r="B21">
        <v>400</v>
      </c>
      <c r="C21">
        <v>19</v>
      </c>
      <c r="D21">
        <v>20</v>
      </c>
      <c r="E21" t="s">
        <v>35</v>
      </c>
    </row>
    <row r="22" spans="1:5" x14ac:dyDescent="0.55000000000000004">
      <c r="A22">
        <v>17</v>
      </c>
      <c r="B22">
        <v>410</v>
      </c>
      <c r="C22">
        <v>20</v>
      </c>
      <c r="D22">
        <v>21</v>
      </c>
      <c r="E22" t="s">
        <v>35</v>
      </c>
    </row>
    <row r="23" spans="1:5" x14ac:dyDescent="0.55000000000000004">
      <c r="A23">
        <v>18</v>
      </c>
      <c r="B23">
        <v>420</v>
      </c>
      <c r="C23">
        <v>20</v>
      </c>
      <c r="D23">
        <v>22</v>
      </c>
      <c r="E23" t="s">
        <v>35</v>
      </c>
    </row>
    <row r="24" spans="1:5" x14ac:dyDescent="0.55000000000000004">
      <c r="A24">
        <v>19</v>
      </c>
      <c r="B24">
        <v>430</v>
      </c>
      <c r="C24">
        <v>21</v>
      </c>
      <c r="D24">
        <v>23</v>
      </c>
      <c r="E24" t="s">
        <v>35</v>
      </c>
    </row>
    <row r="25" spans="1:5" x14ac:dyDescent="0.55000000000000004">
      <c r="A25">
        <v>20</v>
      </c>
      <c r="B25">
        <v>440</v>
      </c>
      <c r="C25">
        <v>21</v>
      </c>
      <c r="D25">
        <v>23</v>
      </c>
      <c r="E25" t="s">
        <v>35</v>
      </c>
    </row>
    <row r="26" spans="1:5" x14ac:dyDescent="0.55000000000000004">
      <c r="A26">
        <v>21</v>
      </c>
      <c r="B26">
        <v>450</v>
      </c>
      <c r="C26">
        <v>22</v>
      </c>
      <c r="D26">
        <v>24</v>
      </c>
      <c r="E26" t="s">
        <v>35</v>
      </c>
    </row>
    <row r="27" spans="1:5" x14ac:dyDescent="0.55000000000000004">
      <c r="A27">
        <v>22</v>
      </c>
      <c r="B27">
        <v>460</v>
      </c>
      <c r="C27">
        <v>22</v>
      </c>
      <c r="D27">
        <v>25</v>
      </c>
      <c r="E27" t="s">
        <v>35</v>
      </c>
    </row>
    <row r="28" spans="1:5" x14ac:dyDescent="0.55000000000000004">
      <c r="A28">
        <v>23</v>
      </c>
      <c r="B28">
        <v>470</v>
      </c>
      <c r="C28">
        <v>23</v>
      </c>
      <c r="D28">
        <v>25</v>
      </c>
      <c r="E28" t="s">
        <v>35</v>
      </c>
    </row>
    <row r="29" spans="1:5" x14ac:dyDescent="0.55000000000000004">
      <c r="A29">
        <v>24</v>
      </c>
      <c r="B29">
        <v>490</v>
      </c>
      <c r="C29">
        <v>23</v>
      </c>
      <c r="D29">
        <v>26</v>
      </c>
      <c r="E29" t="s">
        <v>35</v>
      </c>
    </row>
    <row r="30" spans="1:5" x14ac:dyDescent="0.55000000000000004">
      <c r="A30">
        <v>25</v>
      </c>
      <c r="B30">
        <v>500</v>
      </c>
      <c r="C30">
        <v>24</v>
      </c>
      <c r="D30">
        <v>27</v>
      </c>
      <c r="E30" t="s">
        <v>35</v>
      </c>
    </row>
    <row r="31" spans="1:5" x14ac:dyDescent="0.55000000000000004">
      <c r="A31">
        <v>26</v>
      </c>
      <c r="B31">
        <v>510</v>
      </c>
      <c r="C31">
        <v>24</v>
      </c>
      <c r="D31">
        <v>27</v>
      </c>
      <c r="E31" t="s">
        <v>35</v>
      </c>
    </row>
    <row r="32" spans="1:5" x14ac:dyDescent="0.55000000000000004">
      <c r="A32">
        <v>27</v>
      </c>
      <c r="B32">
        <v>510</v>
      </c>
      <c r="C32">
        <v>25</v>
      </c>
      <c r="D32">
        <v>28</v>
      </c>
      <c r="E32" t="s">
        <v>35</v>
      </c>
    </row>
    <row r="33" spans="1:5" x14ac:dyDescent="0.55000000000000004">
      <c r="A33">
        <v>28</v>
      </c>
      <c r="B33">
        <v>520</v>
      </c>
      <c r="C33">
        <v>25</v>
      </c>
      <c r="D33">
        <v>28</v>
      </c>
      <c r="E33" t="s">
        <v>35</v>
      </c>
    </row>
    <row r="34" spans="1:5" x14ac:dyDescent="0.55000000000000004">
      <c r="A34">
        <v>29</v>
      </c>
      <c r="B34">
        <v>530</v>
      </c>
      <c r="C34">
        <v>26</v>
      </c>
      <c r="D34">
        <v>29</v>
      </c>
      <c r="E34" t="s">
        <v>35</v>
      </c>
    </row>
    <row r="35" spans="1:5" x14ac:dyDescent="0.55000000000000004">
      <c r="A35">
        <v>30</v>
      </c>
      <c r="B35">
        <v>530</v>
      </c>
      <c r="C35">
        <v>26</v>
      </c>
      <c r="D35">
        <v>30</v>
      </c>
      <c r="E35" t="s">
        <v>35</v>
      </c>
    </row>
    <row r="36" spans="1:5" x14ac:dyDescent="0.55000000000000004">
      <c r="A36">
        <v>31</v>
      </c>
      <c r="B36">
        <v>540</v>
      </c>
      <c r="C36">
        <v>27</v>
      </c>
      <c r="D36">
        <v>30</v>
      </c>
      <c r="E36" t="s">
        <v>35</v>
      </c>
    </row>
    <row r="37" spans="1:5" x14ac:dyDescent="0.55000000000000004">
      <c r="A37">
        <v>32</v>
      </c>
      <c r="B37">
        <v>550</v>
      </c>
      <c r="C37">
        <v>27</v>
      </c>
      <c r="D37">
        <v>31</v>
      </c>
      <c r="E37" t="s">
        <v>35</v>
      </c>
    </row>
    <row r="38" spans="1:5" x14ac:dyDescent="0.55000000000000004">
      <c r="A38">
        <v>33</v>
      </c>
      <c r="B38">
        <v>560</v>
      </c>
      <c r="C38">
        <v>28</v>
      </c>
      <c r="D38">
        <v>31</v>
      </c>
      <c r="E38" t="s">
        <v>35</v>
      </c>
    </row>
    <row r="39" spans="1:5" x14ac:dyDescent="0.55000000000000004">
      <c r="A39">
        <v>34</v>
      </c>
      <c r="B39">
        <v>570</v>
      </c>
      <c r="C39">
        <v>28</v>
      </c>
      <c r="D39">
        <v>32</v>
      </c>
      <c r="E39" t="s">
        <v>35</v>
      </c>
    </row>
    <row r="40" spans="1:5" x14ac:dyDescent="0.55000000000000004">
      <c r="A40">
        <v>35</v>
      </c>
      <c r="B40">
        <v>580</v>
      </c>
      <c r="C40">
        <v>29</v>
      </c>
      <c r="D40">
        <v>33</v>
      </c>
      <c r="E40" t="s">
        <v>35</v>
      </c>
    </row>
    <row r="41" spans="1:5" x14ac:dyDescent="0.55000000000000004">
      <c r="A41">
        <v>36</v>
      </c>
      <c r="B41">
        <v>590</v>
      </c>
      <c r="C41">
        <v>29</v>
      </c>
      <c r="D41">
        <v>34</v>
      </c>
      <c r="E41" t="s">
        <v>35</v>
      </c>
    </row>
    <row r="42" spans="1:5" x14ac:dyDescent="0.55000000000000004">
      <c r="A42">
        <v>37</v>
      </c>
      <c r="B42">
        <v>590</v>
      </c>
      <c r="C42">
        <v>30</v>
      </c>
      <c r="D42">
        <v>34</v>
      </c>
      <c r="E42" t="s">
        <v>35</v>
      </c>
    </row>
    <row r="43" spans="1:5" x14ac:dyDescent="0.55000000000000004">
      <c r="A43">
        <v>38</v>
      </c>
      <c r="B43">
        <v>600</v>
      </c>
      <c r="C43">
        <v>30</v>
      </c>
      <c r="D43">
        <v>35</v>
      </c>
      <c r="E43" t="s">
        <v>35</v>
      </c>
    </row>
    <row r="44" spans="1:5" x14ac:dyDescent="0.55000000000000004">
      <c r="A44">
        <v>39</v>
      </c>
      <c r="B44">
        <v>610</v>
      </c>
      <c r="C44">
        <v>31</v>
      </c>
      <c r="D44">
        <v>31</v>
      </c>
      <c r="E44" t="s">
        <v>35</v>
      </c>
    </row>
    <row r="45" spans="1:5" x14ac:dyDescent="0.55000000000000004">
      <c r="A45">
        <v>40</v>
      </c>
      <c r="B45">
        <v>620</v>
      </c>
      <c r="C45">
        <v>31</v>
      </c>
      <c r="D45">
        <v>36</v>
      </c>
      <c r="E45" t="s">
        <v>35</v>
      </c>
    </row>
    <row r="46" spans="1:5" x14ac:dyDescent="0.55000000000000004">
      <c r="A46">
        <v>41</v>
      </c>
      <c r="B46">
        <v>630</v>
      </c>
      <c r="C46">
        <v>32</v>
      </c>
      <c r="D46">
        <v>38</v>
      </c>
      <c r="E46" t="s">
        <v>35</v>
      </c>
    </row>
    <row r="47" spans="1:5" x14ac:dyDescent="0.55000000000000004">
      <c r="A47">
        <v>42</v>
      </c>
      <c r="B47">
        <v>640</v>
      </c>
      <c r="C47">
        <v>33</v>
      </c>
      <c r="D47">
        <v>39</v>
      </c>
      <c r="E47" t="s">
        <v>35</v>
      </c>
    </row>
    <row r="48" spans="1:5" x14ac:dyDescent="0.55000000000000004">
      <c r="A48">
        <v>43</v>
      </c>
      <c r="B48">
        <v>650</v>
      </c>
      <c r="C48">
        <v>33</v>
      </c>
      <c r="D48">
        <v>39</v>
      </c>
      <c r="E48" t="s">
        <v>35</v>
      </c>
    </row>
    <row r="49" spans="1:5" x14ac:dyDescent="0.55000000000000004">
      <c r="A49">
        <v>44</v>
      </c>
      <c r="B49">
        <v>660</v>
      </c>
      <c r="C49">
        <v>34</v>
      </c>
      <c r="D49">
        <v>40</v>
      </c>
      <c r="E49" t="s">
        <v>35</v>
      </c>
    </row>
    <row r="50" spans="1:5" x14ac:dyDescent="0.55000000000000004">
      <c r="A50">
        <v>45</v>
      </c>
      <c r="B50">
        <v>670</v>
      </c>
      <c r="C50">
        <v>35</v>
      </c>
      <c r="D50">
        <v>0</v>
      </c>
      <c r="E50" t="s">
        <v>35</v>
      </c>
    </row>
    <row r="51" spans="1:5" x14ac:dyDescent="0.55000000000000004">
      <c r="A51">
        <v>46</v>
      </c>
      <c r="B51">
        <v>670</v>
      </c>
      <c r="C51">
        <v>36</v>
      </c>
      <c r="D51">
        <v>0</v>
      </c>
      <c r="E51" t="s">
        <v>35</v>
      </c>
    </row>
    <row r="52" spans="1:5" x14ac:dyDescent="0.55000000000000004">
      <c r="A52">
        <v>47</v>
      </c>
      <c r="B52">
        <v>680</v>
      </c>
      <c r="C52">
        <v>37</v>
      </c>
      <c r="D52">
        <v>0</v>
      </c>
      <c r="E52" t="s">
        <v>35</v>
      </c>
    </row>
    <row r="53" spans="1:5" x14ac:dyDescent="0.55000000000000004">
      <c r="A53">
        <v>48</v>
      </c>
      <c r="B53">
        <v>690</v>
      </c>
      <c r="C53">
        <v>37</v>
      </c>
      <c r="D53">
        <v>0</v>
      </c>
      <c r="E53" t="s">
        <v>35</v>
      </c>
    </row>
    <row r="54" spans="1:5" x14ac:dyDescent="0.55000000000000004">
      <c r="A54">
        <v>49</v>
      </c>
      <c r="B54">
        <v>700</v>
      </c>
      <c r="C54">
        <v>38</v>
      </c>
      <c r="D54">
        <v>0</v>
      </c>
      <c r="E54" t="s">
        <v>35</v>
      </c>
    </row>
    <row r="55" spans="1:5" x14ac:dyDescent="0.55000000000000004">
      <c r="A55">
        <v>50</v>
      </c>
      <c r="B55">
        <v>710</v>
      </c>
      <c r="C55">
        <v>39</v>
      </c>
      <c r="D55">
        <v>0</v>
      </c>
      <c r="E55" t="s">
        <v>35</v>
      </c>
    </row>
    <row r="56" spans="1:5" x14ac:dyDescent="0.55000000000000004">
      <c r="A56">
        <v>51</v>
      </c>
      <c r="B56">
        <v>720</v>
      </c>
      <c r="C56">
        <v>40</v>
      </c>
      <c r="D56">
        <v>0</v>
      </c>
      <c r="E56" t="s">
        <v>35</v>
      </c>
    </row>
    <row r="57" spans="1:5" x14ac:dyDescent="0.55000000000000004">
      <c r="A57">
        <v>52</v>
      </c>
      <c r="B57">
        <v>730</v>
      </c>
      <c r="C57">
        <v>40</v>
      </c>
      <c r="D57">
        <v>0</v>
      </c>
      <c r="E57" t="s">
        <v>35</v>
      </c>
    </row>
    <row r="58" spans="1:5" x14ac:dyDescent="0.55000000000000004">
      <c r="A58">
        <v>53</v>
      </c>
      <c r="B58">
        <v>740</v>
      </c>
      <c r="C58">
        <v>0</v>
      </c>
      <c r="D58">
        <v>0</v>
      </c>
      <c r="E58" t="s">
        <v>35</v>
      </c>
    </row>
    <row r="59" spans="1:5" x14ac:dyDescent="0.55000000000000004">
      <c r="A59">
        <v>54</v>
      </c>
      <c r="B59">
        <v>760</v>
      </c>
      <c r="C59">
        <v>0</v>
      </c>
      <c r="D59">
        <v>0</v>
      </c>
      <c r="E59" t="s">
        <v>35</v>
      </c>
    </row>
    <row r="60" spans="1:5" x14ac:dyDescent="0.55000000000000004">
      <c r="A60">
        <v>55</v>
      </c>
      <c r="B60">
        <v>770</v>
      </c>
      <c r="C60">
        <v>0</v>
      </c>
      <c r="D60">
        <v>0</v>
      </c>
      <c r="E60" t="s">
        <v>35</v>
      </c>
    </row>
    <row r="61" spans="1:5" x14ac:dyDescent="0.55000000000000004">
      <c r="A61">
        <v>56</v>
      </c>
      <c r="B61">
        <v>780</v>
      </c>
      <c r="C61">
        <v>0</v>
      </c>
      <c r="D61">
        <v>0</v>
      </c>
      <c r="E61" t="s">
        <v>35</v>
      </c>
    </row>
    <row r="62" spans="1:5" x14ac:dyDescent="0.55000000000000004">
      <c r="A62">
        <v>57</v>
      </c>
      <c r="B62">
        <v>790</v>
      </c>
      <c r="C62">
        <v>0</v>
      </c>
      <c r="D62">
        <v>0</v>
      </c>
      <c r="E62" t="s">
        <v>35</v>
      </c>
    </row>
    <row r="63" spans="1:5" x14ac:dyDescent="0.55000000000000004">
      <c r="A63">
        <v>58</v>
      </c>
      <c r="B63">
        <v>800</v>
      </c>
      <c r="C63">
        <v>0</v>
      </c>
      <c r="D63">
        <v>0</v>
      </c>
      <c r="E63" t="s">
        <v>35</v>
      </c>
    </row>
    <row r="64" spans="1:5" x14ac:dyDescent="0.55000000000000004">
      <c r="B64"/>
      <c r="C64"/>
      <c r="D64"/>
      <c r="E64"/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B1:C7"/>
  <sheetViews>
    <sheetView workbookViewId="0">
      <selection activeCell="D15" sqref="D15"/>
    </sheetView>
  </sheetViews>
  <sheetFormatPr defaultRowHeight="14.4" x14ac:dyDescent="0.55000000000000004"/>
  <cols>
    <col min="2" max="2" width="20.89453125" bestFit="1" customWidth="1"/>
    <col min="3" max="3" width="10.47265625" customWidth="1"/>
    <col min="5" max="5" width="7.62890625" customWidth="1"/>
    <col min="6" max="6" width="6.89453125" customWidth="1"/>
    <col min="7" max="7" width="3" bestFit="1" customWidth="1"/>
    <col min="8" max="8" width="4" bestFit="1" customWidth="1"/>
    <col min="9" max="9" width="5" bestFit="1" customWidth="1"/>
    <col min="10" max="10" width="10.7890625" bestFit="1" customWidth="1"/>
    <col min="12" max="12" width="7.89453125" customWidth="1"/>
  </cols>
  <sheetData>
    <row r="1" spans="2:3" x14ac:dyDescent="0.55000000000000004">
      <c r="B1" t="s">
        <v>10</v>
      </c>
      <c r="C1">
        <v>1400</v>
      </c>
    </row>
    <row r="4" spans="2:3" x14ac:dyDescent="0.55000000000000004">
      <c r="B4" t="s">
        <v>4</v>
      </c>
      <c r="C4" s="4">
        <v>35</v>
      </c>
    </row>
    <row r="5" spans="2:3" x14ac:dyDescent="0.55000000000000004">
      <c r="B5" t="s">
        <v>5</v>
      </c>
      <c r="C5" s="4">
        <v>26</v>
      </c>
    </row>
    <row r="6" spans="2:3" x14ac:dyDescent="0.55000000000000004">
      <c r="B6" t="s">
        <v>9</v>
      </c>
      <c r="C6" s="4">
        <v>790</v>
      </c>
    </row>
    <row r="7" spans="2:3" x14ac:dyDescent="0.55000000000000004">
      <c r="B7" t="s">
        <v>8</v>
      </c>
      <c r="C7">
        <f>(C4+C5)*10+C6</f>
        <v>1400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8872FA7D-61FB-40BB-9C5E-995696E959DE}">
  <ds:schemaRefs/>
</ds:datastoreItem>
</file>

<file path=customXml/itemProps2.xml><?xml version="1.0" encoding="utf-8"?>
<ds:datastoreItem xmlns:ds="http://schemas.openxmlformats.org/officeDocument/2006/customXml" ds:itemID="{2ED60F19-CCED-462B-9530-2E434EB63E7F}">
  <ds:schemaRefs/>
</ds:datastoreItem>
</file>

<file path=customXml/itemProps3.xml><?xml version="1.0" encoding="utf-8"?>
<ds:datastoreItem xmlns:ds="http://schemas.openxmlformats.org/officeDocument/2006/customXml" ds:itemID="{28435161-BDF5-4EE0-8294-6B51264AA940}">
  <ds:schemaRefs/>
</ds:datastoreItem>
</file>

<file path=customXml/itemProps4.xml><?xml version="1.0" encoding="utf-8"?>
<ds:datastoreItem xmlns:ds="http://schemas.openxmlformats.org/officeDocument/2006/customXml" ds:itemID="{536E5714-FD64-4267-A7A4-31FB34F0461A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9E07643D-30EA-4B43-945E-B8EED993EC56}">
  <ds:schemaRefs/>
</ds:datastoreItem>
</file>

<file path=customXml/itemProps6.xml><?xml version="1.0" encoding="utf-8"?>
<ds:datastoreItem xmlns:ds="http://schemas.openxmlformats.org/officeDocument/2006/customXml" ds:itemID="{B1F32036-5A59-493F-BF67-8AFF82A012A7}">
  <ds:schemaRefs/>
</ds:datastoreItem>
</file>

<file path=customXml/itemProps7.xml><?xml version="1.0" encoding="utf-8"?>
<ds:datastoreItem xmlns:ds="http://schemas.openxmlformats.org/officeDocument/2006/customXml" ds:itemID="{E0007F2B-7652-4EF7-9F54-8B2E4ABB762F}">
  <ds:schemaRefs/>
</ds:datastoreItem>
</file>

<file path=customXml/itemProps8.xml><?xml version="1.0" encoding="utf-8"?>
<ds:datastoreItem xmlns:ds="http://schemas.openxmlformats.org/officeDocument/2006/customXml" ds:itemID="{1B262AE1-C1AD-48D9-B11B-CB24EC22D10A}">
  <ds:schemaRefs/>
</ds:datastoreItem>
</file>

<file path=customXml/itemProps9.xml><?xml version="1.0" encoding="utf-8"?>
<ds:datastoreItem xmlns:ds="http://schemas.openxmlformats.org/officeDocument/2006/customXml" ds:itemID="{ACDB2416-4CC2-4D82-8E8E-659A53654342}">
  <ds:schemaRefs/>
</ds:datastoreItem>
</file>

<file path=customXml/itemProps10.xml><?xml version="1.0" encoding="utf-8"?>
<ds:datastoreItem xmlns:ds="http://schemas.openxmlformats.org/officeDocument/2006/customXml" ds:itemID="{16F3134D-2BC7-469A-B3DF-83E584C45EFB}">
  <ds:schemaRefs/>
</ds:datastoreItem>
</file>

<file path=customXml/itemProps11.xml><?xml version="1.0" encoding="utf-8"?>
<ds:datastoreItem xmlns:ds="http://schemas.openxmlformats.org/officeDocument/2006/customXml" ds:itemID="{E3AD2842-04DB-4B0A-BAA0-232056C3D6EA}">
  <ds:schemaRefs/>
</ds:datastoreItem>
</file>

<file path=customXml/itemProps12.xml><?xml version="1.0" encoding="utf-8"?>
<ds:datastoreItem xmlns:ds="http://schemas.openxmlformats.org/officeDocument/2006/customXml" ds:itemID="{7FC94C87-659C-45FF-BF8F-13505F605403}">
  <ds:schemaRefs/>
</ds:datastoreItem>
</file>

<file path=customXml/itemProps13.xml><?xml version="1.0" encoding="utf-8"?>
<ds:datastoreItem xmlns:ds="http://schemas.openxmlformats.org/officeDocument/2006/customXml" ds:itemID="{E007F92F-895D-46BF-8C2E-1E4F850C972E}">
  <ds:schemaRefs/>
</ds:datastoreItem>
</file>

<file path=customXml/itemProps14.xml><?xml version="1.0" encoding="utf-8"?>
<ds:datastoreItem xmlns:ds="http://schemas.openxmlformats.org/officeDocument/2006/customXml" ds:itemID="{84CD8653-16DC-46D1-ABC8-F95C5F731A87}">
  <ds:schemaRefs/>
</ds:datastoreItem>
</file>

<file path=customXml/itemProps15.xml><?xml version="1.0" encoding="utf-8"?>
<ds:datastoreItem xmlns:ds="http://schemas.openxmlformats.org/officeDocument/2006/customXml" ds:itemID="{21BFFA54-9382-4A32-B2A6-D946D0BF5A84}">
  <ds:schemaRefs/>
</ds:datastoreItem>
</file>

<file path=customXml/itemProps16.xml><?xml version="1.0" encoding="utf-8"?>
<ds:datastoreItem xmlns:ds="http://schemas.openxmlformats.org/officeDocument/2006/customXml" ds:itemID="{7D8C9DD4-0259-4549-81CB-6E4A3F9E8158}">
  <ds:schemaRefs/>
</ds:datastoreItem>
</file>

<file path=customXml/itemProps17.xml><?xml version="1.0" encoding="utf-8"?>
<ds:datastoreItem xmlns:ds="http://schemas.openxmlformats.org/officeDocument/2006/customXml" ds:itemID="{F6E0289E-D5DC-4854-9391-CEF010CB1E6D}">
  <ds:schemaRefs/>
</ds:datastoreItem>
</file>

<file path=customXml/itemProps18.xml><?xml version="1.0" encoding="utf-8"?>
<ds:datastoreItem xmlns:ds="http://schemas.openxmlformats.org/officeDocument/2006/customXml" ds:itemID="{8CA876C8-9849-4581-B7D3-44463CB3F7AF}">
  <ds:schemaRefs/>
</ds:datastoreItem>
</file>

<file path=customXml/itemProps19.xml><?xml version="1.0" encoding="utf-8"?>
<ds:datastoreItem xmlns:ds="http://schemas.openxmlformats.org/officeDocument/2006/customXml" ds:itemID="{66B8B3EB-5768-4878-94FB-33B42EC5C888}">
  <ds:schemaRefs/>
</ds:datastoreItem>
</file>

<file path=customXml/itemProps20.xml><?xml version="1.0" encoding="utf-8"?>
<ds:datastoreItem xmlns:ds="http://schemas.openxmlformats.org/officeDocument/2006/customXml" ds:itemID="{A76F8F0A-360A-49E1-A522-166539FEEE91}">
  <ds:schemaRefs/>
</ds:datastoreItem>
</file>

<file path=customXml/itemProps21.xml><?xml version="1.0" encoding="utf-8"?>
<ds:datastoreItem xmlns:ds="http://schemas.openxmlformats.org/officeDocument/2006/customXml" ds:itemID="{9C3B417C-061F-4B48-A929-A2A8D12D12B3}">
  <ds:schemaRefs/>
</ds:datastoreItem>
</file>

<file path=customXml/itemProps22.xml><?xml version="1.0" encoding="utf-8"?>
<ds:datastoreItem xmlns:ds="http://schemas.openxmlformats.org/officeDocument/2006/customXml" ds:itemID="{E28735AC-918F-46AD-9B12-98B96C668127}">
  <ds:schemaRefs/>
</ds:datastoreItem>
</file>

<file path=customXml/itemProps23.xml><?xml version="1.0" encoding="utf-8"?>
<ds:datastoreItem xmlns:ds="http://schemas.openxmlformats.org/officeDocument/2006/customXml" ds:itemID="{6F47CFC8-BA22-47AB-9827-28767328EC3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UserForm</vt:lpstr>
      <vt:lpstr>Dashboard 2</vt:lpstr>
      <vt:lpstr>Reverse</vt:lpstr>
      <vt:lpstr>Reverse 2</vt:lpstr>
      <vt:lpstr>Chart_1</vt:lpstr>
      <vt:lpstr>Math_with_AND_without_Calculator</vt:lpstr>
      <vt:lpstr>Raw_Score</vt:lpstr>
      <vt:lpstr>Reading</vt:lpstr>
      <vt:lpstr>Writing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Thomas</dc:creator>
  <cp:lastModifiedBy>Thomas Sebastian</cp:lastModifiedBy>
  <dcterms:created xsi:type="dcterms:W3CDTF">2019-03-30T08:19:12Z</dcterms:created>
  <dcterms:modified xsi:type="dcterms:W3CDTF">2020-07-06T19:51:09Z</dcterms:modified>
</cp:coreProperties>
</file>